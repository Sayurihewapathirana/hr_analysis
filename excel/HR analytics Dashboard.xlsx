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ayuri Hewapathirana\OneDrive\Documents\Data Analysis Project\HR Dashboard\"/>
    </mc:Choice>
  </mc:AlternateContent>
  <xr:revisionPtr revIDLastSave="0" documentId="13_ncr:1_{05047FBA-E083-4EC1-BEF8-CA2DBCD503CF}" xr6:coauthVersionLast="47" xr6:coauthVersionMax="47" xr10:uidLastSave="{00000000-0000-0000-0000-000000000000}"/>
  <bookViews>
    <workbookView xWindow="-108" yWindow="-108" windowWidth="23256" windowHeight="12456" firstSheet="3" activeTab="9" xr2:uid="{00000000-000D-0000-FFFF-FFFF00000000}"/>
  </bookViews>
  <sheets>
    <sheet name="Rating" sheetId="12" r:id="rId1"/>
    <sheet name="Gender" sheetId="13" r:id="rId2"/>
    <sheet name="Education" sheetId="14" r:id="rId3"/>
    <sheet name="Attrition by job" sheetId="16" r:id="rId4"/>
    <sheet name="Dept wise Attrition" sheetId="17" r:id="rId5"/>
    <sheet name="Attrition by Age" sheetId="18" r:id="rId6"/>
    <sheet name="Marital Status" sheetId="20" r:id="rId7"/>
    <sheet name="Data" sheetId="1" r:id="rId8"/>
    <sheet name="KPI" sheetId="8" r:id="rId9"/>
    <sheet name="Dashboard" sheetId="4" r:id="rId10"/>
  </sheets>
  <definedNames>
    <definedName name="_xlchart.v1.0" hidden="1">'Attrition by job'!$E$4:$E$12</definedName>
    <definedName name="_xlchart.v1.1" hidden="1">'Attrition by job'!$F$4:$F$12</definedName>
    <definedName name="_xlchart.v1.4" hidden="1">'Attrition by job'!$E$4:$E$12</definedName>
    <definedName name="_xlchart.v1.5" hidden="1">'Attrition by job'!$F$4:$F$12</definedName>
    <definedName name="_xlchart.v2.2" hidden="1">'Marital Status'!$D$4:$D$6</definedName>
    <definedName name="_xlchart.v2.3" hidden="1">'Marital Status'!$E$4:$E$6</definedName>
    <definedName name="_xlchart.v2.6" hidden="1">'Marital Status'!$D$4:$D$6</definedName>
    <definedName name="_xlchart.v2.7" hidden="1">'Marital Status'!$E$4:$E$6</definedName>
    <definedName name="Slicer_Department">#N/A</definedName>
    <definedName name="Slicer_Education_Field2">#N/A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9" roundtripDataChecksum="0W7NtiAel2xy0cZdwUBcRsMoEuXg6pzXui43o1bypBA="/>
    </ext>
  </extLst>
</workbook>
</file>

<file path=xl/calcChain.xml><?xml version="1.0" encoding="utf-8"?>
<calcChain xmlns="http://schemas.openxmlformats.org/spreadsheetml/2006/main">
  <c r="D5" i="20" l="1"/>
  <c r="D6" i="20"/>
  <c r="D4" i="20"/>
  <c r="E4" i="16"/>
  <c r="E5" i="16"/>
  <c r="E6" i="16"/>
  <c r="E7" i="16"/>
  <c r="E8" i="16"/>
  <c r="E9" i="16"/>
  <c r="E10" i="16"/>
  <c r="E11" i="16"/>
  <c r="E12" i="16"/>
  <c r="B11" i="13"/>
  <c r="F12" i="16"/>
  <c r="E6" i="20"/>
  <c r="E5" i="20"/>
  <c r="E4" i="20"/>
  <c r="F6" i="16"/>
  <c r="A8" i="8"/>
  <c r="F4" i="16"/>
  <c r="F7" i="16"/>
  <c r="F8" i="16"/>
  <c r="B10" i="13"/>
  <c r="F11" i="16"/>
  <c r="B8" i="8"/>
  <c r="B7" i="12"/>
  <c r="C8" i="8"/>
  <c r="F9" i="16"/>
  <c r="F10" i="16"/>
  <c r="C7" i="12"/>
  <c r="B8" i="12"/>
  <c r="F5" i="16"/>
  <c r="C11" i="13" l="1"/>
  <c r="C10" i="13"/>
  <c r="C8" i="12"/>
  <c r="D8" i="8"/>
  <c r="E8" i="8"/>
</calcChain>
</file>

<file path=xl/sharedStrings.xml><?xml version="1.0" encoding="utf-8"?>
<sst xmlns="http://schemas.openxmlformats.org/spreadsheetml/2006/main" count="19217" uniqueCount="1571">
  <si>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</si>
  <si>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</si>
  <si>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</si>
  <si>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</si>
  <si>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</si>
  <si>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</si>
  <si>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</si>
  <si>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</si>
  <si>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</si>
  <si>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</si>
  <si>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</si>
  <si>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</si>
  <si>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</si>
  <si>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</si>
  <si>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</si>
  <si>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</si>
  <si>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</si>
  <si>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</si>
  <si>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</si>
  <si>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</si>
  <si>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</si>
  <si>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</si>
  <si>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</si>
  <si>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</si>
  <si>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</si>
  <si>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</si>
  <si>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</si>
  <si>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</si>
  <si>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</si>
  <si>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</si>
  <si>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</si>
  <si>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</si>
  <si>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</si>
  <si>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</si>
  <si>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</si>
  <si>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</si>
  <si>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</si>
  <si>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</si>
  <si>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</si>
  <si>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</si>
  <si>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</si>
  <si>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</si>
  <si>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</si>
  <si>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</si>
  <si>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</si>
  <si>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</si>
  <si>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</si>
  <si>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</si>
  <si>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</si>
  <si>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</si>
  <si>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</si>
  <si>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</si>
  <si>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</si>
  <si>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</si>
  <si>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</si>
  <si>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</si>
  <si>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</si>
  <si>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</si>
  <si>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</si>
  <si>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</si>
  <si>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</si>
  <si>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</si>
  <si>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</si>
  <si>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</si>
  <si>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</si>
  <si>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</si>
  <si>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</si>
  <si>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</si>
  <si>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</si>
  <si>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</si>
  <si>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</si>
  <si>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</si>
  <si>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</si>
  <si>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</si>
  <si>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</si>
  <si>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</si>
  <si>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</si>
  <si>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</si>
  <si>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</si>
  <si>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</si>
  <si>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</si>
  <si>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</si>
  <si>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</si>
  <si>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</si>
  <si>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</si>
  <si>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</si>
  <si>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</si>
  <si>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</si>
  <si>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</si>
  <si>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</si>
  <si>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</si>
  <si>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</si>
  <si>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</si>
  <si>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</si>
  <si>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</si>
  <si>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</si>
  <si>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</si>
  <si>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</si>
  <si>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</si>
  <si>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</si>
  <si>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</si>
  <si>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</si>
  <si>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</si>
  <si>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</si>
  <si>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</si>
  <si>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</si>
  <si>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</si>
  <si>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</si>
  <si>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</si>
  <si>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</si>
  <si>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</si>
  <si>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</si>
  <si>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</si>
  <si>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</si>
  <si>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</si>
  <si>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</si>
  <si>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</si>
  <si>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</si>
  <si>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</si>
  <si>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</si>
  <si>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</si>
  <si>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</si>
  <si>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</si>
  <si>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</si>
  <si>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</si>
  <si>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</si>
  <si>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</si>
  <si>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</si>
  <si>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</si>
  <si>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</si>
  <si>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</si>
  <si>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</si>
  <si>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</si>
  <si>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</si>
  <si>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</si>
  <si>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</si>
  <si>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</si>
  <si>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</si>
  <si>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</si>
  <si>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</si>
  <si>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</si>
  <si>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</si>
  <si>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</si>
  <si>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</si>
  <si>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</si>
  <si>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</si>
  <si>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</si>
  <si>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</si>
  <si>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</si>
  <si>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</si>
  <si>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</si>
  <si>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</si>
  <si>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</si>
  <si>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</si>
  <si>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</si>
  <si>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</si>
  <si>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</si>
  <si>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</si>
  <si>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</si>
  <si>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</si>
  <si>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</si>
  <si>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</si>
  <si>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</si>
  <si>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</si>
  <si>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</si>
  <si>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</si>
  <si>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</si>
  <si>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</si>
  <si>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</si>
  <si>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</si>
  <si>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</si>
  <si>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</si>
  <si>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</si>
  <si>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</si>
  <si>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</si>
  <si>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</si>
  <si>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</si>
  <si>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</si>
  <si>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</si>
  <si>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</si>
  <si>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</si>
  <si>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</si>
  <si>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</si>
  <si>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</si>
  <si>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</si>
  <si>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</si>
  <si>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</si>
  <si>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</si>
  <si>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</si>
  <si>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</si>
  <si>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</si>
  <si>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</si>
  <si>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</si>
  <si>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</si>
  <si>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</si>
  <si>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</si>
  <si>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</si>
  <si>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</si>
  <si>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</si>
  <si>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</si>
  <si>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</si>
  <si>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</si>
  <si>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</si>
  <si>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</si>
  <si>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</si>
  <si>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</si>
  <si>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</si>
  <si>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</si>
  <si>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</si>
  <si>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</si>
  <si>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</si>
  <si>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</si>
  <si>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</si>
  <si>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</si>
  <si>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</si>
  <si>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</si>
  <si>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</si>
  <si>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</si>
  <si>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</si>
  <si>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</si>
  <si>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</si>
  <si>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</si>
  <si>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</si>
  <si>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</si>
  <si>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</si>
  <si>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</si>
  <si>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</si>
  <si>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</si>
  <si>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</si>
  <si>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</si>
  <si>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</si>
  <si>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</si>
  <si>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</si>
  <si>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</si>
  <si>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</si>
  <si>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</si>
  <si>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</si>
  <si>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</si>
  <si>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</si>
  <si>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</si>
  <si>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</si>
  <si>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</si>
  <si>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</si>
  <si>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</si>
  <si>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</si>
  <si>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</si>
  <si>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</si>
  <si>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</si>
  <si>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</si>
  <si>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</si>
  <si>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</si>
  <si>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</si>
  <si>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</si>
  <si>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</si>
  <si>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</si>
  <si>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</si>
  <si>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</si>
  <si>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</si>
  <si>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</si>
  <si>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</si>
  <si>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</si>
  <si>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</si>
  <si>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</si>
  <si>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</si>
  <si>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</si>
  <si>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</si>
  <si>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</si>
  <si>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</si>
  <si>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</si>
  <si>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</si>
  <si>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</si>
  <si>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</si>
  <si>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</si>
  <si>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</si>
  <si>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</si>
  <si>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</si>
  <si>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</si>
  <si>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</si>
  <si>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</si>
  <si>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</si>
  <si>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</si>
  <si>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</si>
  <si>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</si>
  <si>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</si>
  <si>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</si>
  <si>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</si>
  <si>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</si>
  <si>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</si>
  <si>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</si>
  <si>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</si>
  <si>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</si>
  <si>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</si>
  <si>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</si>
  <si>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</si>
  <si>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</si>
  <si>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</si>
  <si>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</si>
  <si>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</si>
  <si>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</si>
  <si>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</si>
  <si>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</si>
  <si>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</si>
  <si>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</si>
  <si>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</si>
  <si>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</si>
  <si>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</si>
  <si>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</si>
  <si>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</si>
  <si>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</si>
  <si>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</si>
  <si>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</si>
  <si>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</si>
  <si>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</si>
  <si>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</si>
  <si>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</si>
  <si>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</si>
  <si>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</si>
  <si>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</si>
  <si>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</si>
  <si>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</si>
  <si>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</si>
  <si>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</si>
  <si>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</si>
  <si>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</si>
  <si>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</si>
  <si>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</si>
  <si>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</si>
  <si>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</si>
  <si>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</si>
  <si>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</si>
  <si>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</si>
  <si>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</si>
  <si>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</si>
  <si>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</si>
  <si>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</si>
  <si>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</si>
  <si>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</si>
  <si>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</si>
  <si>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</si>
  <si>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</si>
  <si>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</si>
  <si>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</si>
  <si>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</si>
  <si>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</si>
  <si>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</si>
  <si>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</si>
  <si>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</si>
  <si>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</si>
  <si>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</si>
  <si>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</si>
  <si>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</si>
  <si>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</si>
  <si>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</si>
  <si>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</si>
  <si>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</si>
  <si>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</si>
  <si>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</si>
  <si>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</si>
  <si>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</si>
  <si>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</si>
  <si>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</si>
  <si>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</si>
  <si>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</si>
  <si>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</si>
  <si>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</si>
  <si>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</si>
  <si>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</si>
  <si>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</si>
  <si>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</si>
  <si>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</si>
  <si>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</si>
  <si>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</si>
  <si>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</si>
  <si>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</si>
  <si>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</si>
  <si>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</si>
  <si>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</si>
  <si>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</si>
  <si>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</si>
  <si>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</si>
  <si>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</si>
  <si>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</si>
  <si>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</si>
  <si>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</si>
  <si>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</si>
  <si>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</si>
  <si>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</si>
  <si>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</si>
  <si>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</si>
  <si>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</si>
  <si>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</si>
  <si>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</si>
  <si>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</si>
  <si>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</si>
  <si>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</si>
  <si>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</si>
  <si>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</si>
  <si>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</si>
  <si>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</si>
  <si>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</si>
  <si>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</si>
  <si>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</si>
  <si>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</si>
  <si>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</si>
  <si>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</si>
  <si>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</si>
  <si>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</si>
  <si>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</si>
  <si>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</si>
  <si>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</si>
  <si>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</si>
  <si>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</si>
  <si>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</si>
  <si>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</si>
  <si>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</si>
  <si>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</si>
  <si>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</si>
  <si>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</si>
  <si>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</si>
  <si>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</si>
  <si>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</si>
  <si>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</si>
  <si>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</si>
  <si>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</si>
  <si>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</si>
  <si>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</si>
  <si>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</si>
  <si>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</si>
  <si>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</si>
  <si>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</si>
  <si>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</si>
  <si>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</si>
  <si>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</si>
  <si>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</si>
  <si>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</si>
  <si>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</si>
  <si>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</si>
  <si>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</si>
  <si>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</si>
  <si>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</si>
  <si>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</si>
  <si>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</si>
  <si>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</si>
  <si>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</si>
  <si>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</si>
  <si>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</si>
  <si>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</si>
  <si>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</si>
  <si>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</si>
  <si>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</si>
  <si>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</si>
  <si>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</si>
  <si>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</si>
  <si>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</si>
  <si>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</si>
  <si>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</si>
  <si>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</si>
  <si>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</si>
  <si>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</si>
  <si>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</si>
  <si>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</si>
  <si>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</si>
  <si>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</si>
  <si>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</si>
  <si>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</si>
  <si>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</si>
  <si>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</si>
  <si>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</si>
  <si>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</si>
  <si>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</si>
  <si>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</si>
  <si>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</si>
  <si>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</si>
  <si>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</si>
  <si>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</si>
  <si>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</si>
  <si>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</si>
  <si>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</si>
  <si>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</si>
  <si>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</si>
  <si>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</si>
  <si>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</si>
  <si>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</si>
  <si>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</si>
  <si>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</si>
  <si>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</si>
  <si>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</si>
  <si>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</si>
  <si>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</si>
  <si>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</si>
  <si>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</si>
  <si>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</si>
  <si>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</si>
  <si>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</si>
  <si>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</si>
  <si>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</si>
  <si>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</si>
  <si>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</si>
  <si>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</si>
  <si>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</si>
  <si>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</si>
  <si>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</si>
  <si>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</si>
  <si>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</si>
  <si>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</si>
  <si>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</si>
  <si>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</si>
  <si>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</si>
  <si>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</si>
  <si>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</si>
  <si>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</si>
  <si>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</si>
  <si>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</si>
  <si>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</si>
  <si>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</si>
  <si>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</si>
  <si>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</si>
  <si>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</si>
  <si>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</si>
  <si>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</si>
  <si>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</si>
  <si>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</si>
  <si>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</si>
  <si>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</si>
  <si>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</si>
  <si>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</si>
  <si>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</si>
  <si>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</si>
  <si>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</si>
  <si>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</si>
  <si>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</si>
  <si>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</si>
  <si>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</si>
  <si>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</si>
  <si>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</si>
  <si>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</si>
  <si>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</si>
  <si>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</si>
  <si>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</si>
  <si>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</si>
  <si>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</si>
  <si>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</si>
  <si>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</si>
  <si>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</si>
  <si>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</si>
  <si>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</si>
  <si>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</si>
  <si>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</si>
  <si>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</si>
  <si>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</si>
  <si>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</si>
  <si>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</si>
  <si>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</si>
  <si>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</si>
  <si>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</si>
  <si>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</si>
  <si>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</si>
  <si>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</si>
  <si>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</si>
  <si>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</si>
  <si>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</si>
  <si>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</si>
  <si>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</si>
  <si>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</si>
  <si>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</si>
  <si>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</si>
  <si>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</si>
  <si>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</si>
  <si>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</si>
  <si>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</si>
  <si>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</si>
  <si>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</si>
  <si>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</si>
  <si>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</si>
  <si>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</si>
  <si>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</si>
  <si>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</si>
  <si>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</si>
  <si>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</si>
  <si>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</si>
  <si>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</si>
  <si>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</si>
  <si>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</si>
  <si>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</si>
  <si>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</si>
  <si>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</si>
  <si>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</si>
  <si>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</si>
  <si>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</si>
  <si>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</si>
  <si>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</si>
  <si>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</si>
  <si>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</si>
  <si>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</si>
  <si>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</si>
  <si>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</si>
  <si>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</si>
  <si>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</si>
  <si>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</si>
  <si>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</si>
  <si>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</si>
  <si>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</si>
  <si>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</si>
  <si>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</si>
  <si>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</si>
  <si>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</si>
  <si>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</si>
  <si>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</si>
  <si>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</si>
  <si>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</si>
  <si>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</si>
  <si>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</si>
  <si>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</si>
  <si>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</si>
  <si>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</si>
  <si>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</si>
  <si>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</si>
  <si>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</si>
  <si>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</si>
  <si>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</si>
  <si>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</si>
  <si>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</si>
  <si>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</si>
  <si>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</si>
  <si>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</si>
  <si>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</si>
  <si>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</si>
  <si>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</si>
  <si>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</si>
  <si>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</si>
  <si>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</si>
  <si>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</si>
  <si>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</si>
  <si>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</si>
  <si>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</si>
  <si>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</si>
  <si>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</si>
  <si>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</si>
  <si>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</si>
  <si>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</si>
  <si>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</si>
  <si>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</si>
  <si>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</si>
  <si>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</si>
  <si>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</si>
  <si>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</si>
  <si>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</si>
  <si>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</si>
  <si>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</si>
  <si>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</si>
  <si>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</si>
  <si>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</si>
  <si>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</si>
  <si>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</si>
  <si>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</si>
  <si>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</si>
  <si>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</si>
  <si>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</si>
  <si>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</si>
  <si>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</si>
  <si>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</si>
  <si>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</si>
  <si>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</si>
  <si>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</si>
  <si>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</si>
  <si>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</si>
  <si>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</si>
  <si>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</si>
  <si>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</si>
  <si>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</si>
  <si>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</si>
  <si>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</si>
  <si>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</si>
  <si>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</si>
  <si>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</si>
  <si>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</si>
  <si>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</si>
  <si>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</si>
  <si>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</si>
  <si>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</si>
  <si>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</si>
  <si>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</si>
  <si>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</si>
  <si>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</si>
  <si>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</si>
  <si>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</si>
  <si>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</si>
  <si>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</si>
  <si>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</si>
  <si>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</si>
  <si>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</si>
  <si>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</si>
  <si>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</si>
  <si>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</si>
  <si>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</si>
  <si>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</si>
  <si>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</si>
  <si>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</si>
  <si>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</si>
  <si>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</si>
  <si>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</si>
  <si>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</si>
  <si>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</si>
  <si>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</si>
  <si>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</si>
  <si>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</si>
  <si>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</si>
  <si>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</si>
  <si>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</si>
  <si>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</si>
  <si>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</si>
  <si>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</si>
  <si>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</si>
  <si>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</si>
  <si>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</si>
  <si>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</si>
  <si>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</si>
  <si>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</si>
  <si>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</si>
  <si>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</si>
  <si>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</si>
  <si>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</si>
  <si>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</si>
  <si>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</si>
  <si>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</si>
  <si>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</si>
  <si>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</si>
  <si>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</si>
  <si>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</si>
  <si>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</si>
  <si>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</si>
  <si>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</si>
  <si>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</si>
  <si>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</si>
  <si>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</si>
  <si>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</si>
  <si>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</si>
  <si>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</si>
  <si>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</si>
  <si>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</si>
  <si>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</si>
  <si>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</si>
  <si>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</si>
  <si>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</si>
  <si>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</si>
  <si>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</si>
  <si>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</si>
  <si>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</si>
  <si>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</si>
  <si>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</si>
  <si>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</si>
  <si>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</si>
  <si>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</si>
  <si>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</si>
  <si>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</si>
  <si>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</si>
  <si>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</si>
  <si>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</si>
  <si>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</si>
  <si>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</si>
  <si>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</si>
  <si>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</si>
  <si>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</si>
  <si>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</si>
  <si>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</si>
  <si>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</si>
  <si>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</si>
  <si>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</si>
  <si>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</si>
  <si>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</si>
  <si>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</si>
  <si>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</si>
  <si>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</si>
  <si>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</si>
  <si>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</si>
  <si>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</si>
  <si>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</si>
  <si>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</si>
  <si>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</si>
  <si>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</si>
  <si>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</si>
  <si>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</si>
  <si>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</si>
  <si>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</si>
  <si>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</si>
  <si>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</si>
  <si>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</si>
  <si>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</si>
  <si>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</si>
  <si>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</si>
  <si>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</si>
  <si>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</si>
  <si>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</si>
  <si>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</si>
  <si>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</si>
  <si>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</si>
  <si>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</si>
  <si>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</si>
  <si>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</si>
  <si>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</si>
  <si>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</si>
  <si>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</si>
  <si>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</si>
  <si>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</si>
  <si>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</si>
  <si>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</si>
  <si>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</si>
  <si>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</si>
  <si>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</si>
  <si>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</si>
  <si>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</si>
  <si>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</si>
  <si>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</si>
  <si>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</si>
  <si>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</si>
  <si>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</si>
  <si>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</si>
  <si>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</si>
  <si>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</si>
  <si>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</si>
  <si>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</si>
  <si>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</si>
  <si>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</si>
  <si>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</si>
  <si>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</si>
  <si>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</si>
  <si>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</si>
  <si>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</si>
  <si>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</si>
  <si>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</si>
  <si>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</si>
  <si>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</si>
  <si>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</si>
  <si>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</si>
  <si>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</si>
  <si>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</si>
  <si>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</si>
  <si>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</si>
  <si>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</si>
  <si>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</si>
  <si>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</si>
  <si>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</si>
  <si>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</si>
  <si>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</si>
  <si>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</si>
  <si>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</si>
  <si>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</si>
  <si>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</si>
  <si>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</si>
  <si>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</si>
  <si>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</si>
  <si>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</si>
  <si>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</si>
  <si>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</si>
  <si>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</si>
  <si>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</si>
  <si>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</si>
  <si>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</si>
  <si>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</si>
  <si>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</si>
  <si>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</si>
  <si>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</si>
  <si>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</si>
  <si>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</si>
  <si>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</si>
  <si>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</si>
  <si>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</si>
  <si>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</si>
  <si>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</si>
  <si>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</si>
  <si>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</si>
  <si>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</si>
  <si>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</si>
  <si>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</si>
  <si>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</si>
  <si>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</si>
  <si>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</si>
  <si>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</si>
  <si>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</si>
  <si>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</si>
  <si>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</si>
  <si>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</si>
  <si>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</si>
  <si>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</si>
  <si>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</si>
  <si>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</si>
  <si>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</si>
  <si>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</si>
  <si>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</si>
  <si>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</si>
  <si>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</si>
  <si>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</si>
  <si>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</si>
  <si>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</si>
  <si>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</si>
  <si>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</si>
  <si>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</si>
  <si>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</si>
  <si>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</si>
  <si>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</si>
  <si>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</si>
  <si>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</si>
  <si>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</si>
  <si>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</si>
  <si>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</si>
  <si>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</si>
  <si>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</si>
  <si>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</si>
  <si>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</si>
  <si>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</si>
  <si>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</si>
  <si>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</si>
  <si>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</si>
  <si>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</si>
  <si>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</si>
  <si>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</si>
  <si>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</si>
  <si>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</si>
  <si>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</si>
  <si>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</si>
  <si>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</si>
  <si>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</si>
  <si>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</si>
  <si>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</si>
  <si>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</si>
  <si>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</si>
  <si>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</si>
  <si>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</si>
  <si>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</si>
  <si>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</si>
  <si>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</si>
  <si>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</si>
  <si>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</si>
  <si>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</si>
  <si>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</si>
  <si>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</si>
  <si>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</si>
  <si>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</si>
  <si>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</si>
  <si>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</si>
  <si>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</si>
  <si>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</si>
  <si>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</si>
  <si>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</si>
  <si>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</si>
  <si>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</si>
  <si>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</si>
  <si>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</si>
  <si>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</si>
  <si>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</si>
  <si>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</si>
  <si>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</si>
  <si>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</si>
  <si>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</si>
  <si>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</si>
  <si>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</si>
  <si>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</si>
  <si>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</si>
  <si>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</si>
  <si>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</si>
  <si>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</si>
  <si>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</si>
  <si>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</si>
  <si>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</si>
  <si>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</si>
  <si>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</si>
  <si>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</si>
  <si>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</si>
  <si>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</si>
  <si>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</si>
  <si>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</si>
  <si>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</si>
  <si>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</si>
  <si>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</si>
  <si>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</si>
  <si>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</si>
  <si>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</si>
  <si>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</si>
  <si>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</si>
  <si>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</si>
  <si>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</si>
  <si>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</si>
  <si>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</si>
  <si>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</si>
  <si>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</si>
  <si>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</si>
  <si>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</si>
  <si>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</si>
  <si>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</si>
  <si>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</si>
  <si>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</si>
  <si>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</si>
  <si>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</si>
  <si>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</si>
  <si>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</si>
  <si>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</si>
  <si>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</si>
  <si>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</si>
  <si>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</si>
  <si>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</si>
  <si>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</si>
  <si>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</si>
  <si>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</si>
  <si>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</si>
  <si>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</si>
  <si>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</si>
  <si>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</si>
  <si>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</si>
  <si>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</si>
  <si>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</si>
  <si>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</si>
  <si>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</si>
  <si>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</si>
  <si>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</si>
  <si>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</si>
  <si>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</si>
  <si>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</si>
  <si>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</si>
  <si>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</si>
  <si>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</si>
  <si>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</si>
  <si>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</si>
  <si>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</si>
  <si>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</si>
  <si>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</si>
  <si>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</si>
  <si>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</si>
  <si>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</si>
  <si>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</si>
  <si>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</si>
  <si>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</si>
  <si>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</si>
  <si>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</si>
  <si>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</si>
  <si>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</si>
  <si>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</si>
  <si>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</si>
  <si>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</si>
  <si>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</si>
  <si>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</si>
  <si>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</si>
  <si>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</si>
  <si>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</si>
  <si>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</si>
  <si>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</si>
  <si>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</si>
  <si>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</si>
  <si>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</si>
  <si>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</si>
  <si>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</si>
  <si>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</si>
  <si>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</si>
  <si>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</si>
  <si>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</si>
  <si>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</si>
  <si>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</si>
  <si>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</si>
  <si>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</si>
  <si>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</si>
  <si>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</si>
  <si>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</si>
  <si>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</si>
  <si>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</si>
  <si>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</si>
  <si>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</si>
  <si>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</si>
  <si>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</si>
  <si>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</si>
  <si>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</si>
  <si>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</si>
  <si>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</si>
  <si>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</si>
  <si>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</si>
  <si>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</si>
  <si>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</si>
  <si>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</si>
  <si>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</si>
  <si>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</si>
  <si>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</si>
  <si>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</si>
  <si>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</si>
  <si>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</si>
  <si>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</si>
  <si>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</si>
  <si>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</si>
  <si>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</si>
  <si>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</si>
  <si>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</si>
  <si>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</si>
  <si>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</si>
  <si>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</si>
  <si>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</si>
  <si>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</si>
  <si>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</si>
  <si>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</si>
  <si>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</si>
  <si>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</si>
  <si>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</si>
  <si>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</si>
  <si>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</si>
  <si>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</si>
  <si>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</si>
  <si>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</si>
  <si>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</si>
  <si>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</si>
  <si>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</si>
  <si>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</si>
  <si>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</si>
  <si>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</si>
  <si>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</si>
  <si>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</si>
  <si>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</si>
  <si>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</si>
  <si>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</si>
  <si>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</si>
  <si>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</si>
  <si>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</si>
  <si>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</si>
  <si>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</si>
  <si>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</si>
  <si>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</si>
  <si>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</si>
  <si>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</si>
  <si>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</si>
  <si>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</si>
  <si>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</si>
  <si>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</si>
  <si>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</si>
  <si>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</si>
  <si>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</si>
  <si>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</si>
  <si>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</si>
  <si>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</si>
  <si>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</si>
  <si>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</si>
  <si>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</si>
  <si>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</si>
  <si>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</si>
  <si>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</si>
  <si>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</si>
  <si>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</si>
  <si>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</si>
  <si>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</si>
  <si>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</si>
  <si>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</si>
  <si>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</si>
  <si>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</si>
  <si>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</si>
  <si>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</si>
  <si>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</si>
  <si>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</si>
  <si>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</si>
  <si>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</si>
  <si>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</si>
  <si>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</si>
  <si>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</si>
  <si>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</si>
  <si>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</si>
  <si>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</si>
  <si>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</si>
  <si>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</si>
  <si>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</si>
  <si>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</si>
  <si>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</si>
  <si>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</si>
  <si>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</si>
  <si>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</si>
  <si>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</si>
  <si>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</si>
  <si>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</si>
  <si>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</si>
  <si>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</si>
  <si>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</si>
  <si>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</si>
  <si>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</si>
  <si>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</si>
  <si>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</si>
  <si>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</si>
  <si>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</si>
  <si>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</si>
  <si>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</si>
  <si>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</si>
  <si>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</si>
  <si>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</si>
  <si>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</si>
  <si>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</si>
  <si>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</si>
  <si>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</si>
  <si>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</si>
  <si>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</si>
  <si>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</si>
  <si>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</si>
  <si>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</si>
  <si>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</si>
  <si>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</si>
  <si>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</si>
  <si>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</si>
  <si>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</si>
  <si>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</si>
  <si>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</si>
  <si>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</si>
  <si>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</si>
  <si>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</si>
  <si>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</si>
  <si>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</si>
  <si>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</si>
  <si>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</si>
  <si>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</si>
  <si>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</si>
  <si>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</si>
  <si>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</si>
  <si>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</si>
  <si>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</si>
  <si>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</si>
  <si>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</si>
  <si>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</si>
  <si>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</si>
  <si>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</si>
  <si>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</si>
  <si>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</si>
  <si>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</si>
  <si>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</si>
  <si>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</si>
  <si>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</si>
  <si>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</si>
  <si>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</si>
  <si>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</si>
  <si>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</si>
  <si>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</si>
  <si>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</si>
  <si>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</si>
  <si>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</si>
  <si>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</si>
  <si>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</si>
  <si>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</si>
  <si>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</si>
  <si>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</si>
  <si>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</si>
  <si>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</si>
  <si>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</si>
  <si>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</si>
  <si>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</si>
  <si>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</si>
  <si>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</si>
  <si>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</si>
  <si>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</si>
  <si>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</si>
  <si>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</si>
  <si>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</si>
  <si>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</si>
  <si>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</si>
  <si>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</si>
  <si>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</si>
  <si>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</si>
  <si>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</si>
  <si>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</si>
  <si>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</si>
  <si>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</si>
  <si>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</si>
  <si>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</si>
  <si>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</si>
  <si>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</si>
  <si>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</si>
  <si>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</si>
  <si>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</si>
  <si>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</si>
  <si>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</si>
  <si>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</si>
  <si>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</si>
  <si>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</si>
  <si>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</si>
  <si>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</si>
  <si>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</si>
  <si>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</si>
  <si>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</si>
  <si>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</si>
  <si>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</si>
  <si>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</si>
  <si>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</si>
  <si>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</si>
  <si>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</si>
  <si>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</si>
  <si>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</si>
  <si>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</si>
  <si>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</si>
  <si>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</si>
  <si>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</si>
  <si>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</si>
  <si>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</si>
  <si>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</si>
  <si>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</si>
  <si>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</si>
  <si>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</si>
  <si>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</si>
  <si>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</si>
  <si>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</si>
  <si>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</si>
  <si>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</si>
  <si>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</si>
  <si>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</si>
  <si>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</si>
  <si>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</si>
  <si>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</si>
  <si>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</si>
  <si>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</si>
  <si>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</si>
  <si>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</si>
  <si>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</si>
  <si>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</si>
  <si>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</si>
  <si>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</si>
  <si>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</si>
  <si>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</si>
  <si>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</si>
  <si>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</si>
  <si>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</si>
  <si>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</si>
  <si>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</si>
  <si>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</si>
  <si>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</si>
  <si>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</si>
  <si>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</si>
  <si>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</si>
  <si>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</si>
  <si>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</si>
  <si>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</si>
  <si>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</si>
  <si>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</si>
  <si>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</si>
  <si>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</si>
  <si>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</si>
  <si>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</si>
  <si>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</si>
  <si>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</si>
  <si>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</si>
  <si>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</si>
  <si>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</si>
  <si>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</si>
  <si>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</si>
  <si>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</si>
  <si>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</si>
  <si>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</si>
  <si>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</si>
  <si>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</si>
  <si>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</si>
  <si>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</si>
  <si>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</si>
  <si>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</si>
  <si>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</si>
  <si>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</si>
  <si>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</si>
  <si>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</si>
  <si>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</si>
  <si>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</si>
  <si>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</si>
  <si>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</si>
  <si>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</si>
  <si>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</si>
  <si>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</si>
  <si>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</si>
  <si>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</si>
  <si>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</si>
  <si>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</si>
  <si>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</si>
  <si>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</si>
  <si>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</si>
  <si>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</si>
  <si>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</si>
  <si>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</si>
  <si>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</si>
  <si>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</si>
  <si>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</si>
  <si>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</si>
  <si>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</si>
  <si>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</si>
  <si>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</si>
  <si>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</si>
  <si>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</si>
  <si>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</si>
  <si>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</si>
  <si>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</si>
  <si>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</si>
  <si>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</si>
  <si>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</si>
  <si>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</si>
  <si>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</si>
  <si>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</si>
  <si>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</si>
  <si>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</si>
  <si>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</si>
  <si>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</si>
  <si>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</si>
  <si>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</si>
  <si>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</si>
  <si>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</si>
  <si>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</si>
  <si>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</si>
  <si>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</si>
  <si>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</si>
  <si>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</si>
  <si>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</si>
  <si>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</si>
  <si>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</si>
  <si>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</si>
  <si>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</si>
  <si>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</si>
  <si>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</si>
  <si>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</si>
  <si>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</si>
  <si>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</si>
  <si>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</si>
  <si>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</si>
  <si>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</si>
  <si>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</si>
  <si>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</si>
  <si>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</si>
  <si>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</si>
  <si>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</si>
  <si>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</si>
  <si>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</si>
  <si>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</si>
  <si>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</si>
  <si>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</si>
  <si>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</si>
  <si>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</si>
  <si>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</si>
  <si>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</si>
  <si>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</si>
  <si>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</si>
  <si>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</si>
  <si>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</si>
  <si>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</si>
  <si>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</si>
  <si>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</si>
  <si>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</si>
  <si>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</si>
  <si>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</si>
  <si>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</si>
  <si>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</si>
  <si>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</si>
  <si>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</si>
  <si>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</si>
  <si>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</si>
  <si>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</si>
  <si>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</si>
  <si>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</si>
  <si>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</si>
  <si>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</si>
  <si>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</si>
  <si>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</si>
  <si>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</si>
  <si>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</si>
  <si>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</si>
  <si>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</si>
  <si>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</si>
  <si>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</si>
  <si>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</si>
  <si>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</si>
  <si>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</si>
  <si>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</si>
  <si>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</si>
  <si>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</si>
  <si>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</si>
  <si>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</si>
  <si>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</si>
  <si>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</si>
  <si>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</si>
  <si>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</si>
  <si>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</si>
  <si>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</si>
  <si>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</si>
  <si>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</si>
  <si>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</si>
  <si>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</si>
  <si>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</si>
  <si>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</si>
  <si>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</si>
  <si>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</si>
  <si>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</si>
  <si>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</si>
  <si>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</si>
  <si>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</si>
  <si>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</si>
  <si>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</si>
  <si>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</si>
  <si>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</si>
  <si>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</si>
  <si>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</si>
  <si>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</si>
  <si>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</si>
  <si>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</si>
  <si>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</si>
  <si>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</si>
  <si>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</si>
  <si>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</si>
  <si>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</si>
  <si>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</si>
  <si>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</si>
  <si>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</si>
  <si>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</si>
  <si>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</si>
  <si>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</si>
  <si>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</si>
  <si>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</si>
  <si>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</si>
  <si>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</si>
  <si>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</si>
  <si>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</si>
  <si>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</si>
  <si>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</si>
  <si>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</si>
  <si>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</si>
  <si>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</si>
  <si>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</si>
  <si>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</si>
  <si>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</si>
  <si>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</si>
  <si>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</si>
  <si>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</si>
  <si>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</si>
  <si>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</si>
  <si>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</si>
  <si>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</si>
  <si>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</si>
  <si>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</si>
  <si>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</si>
  <si>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</si>
  <si>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</si>
  <si>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</si>
  <si>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</si>
  <si>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</si>
  <si>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</si>
  <si>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</si>
  <si>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</si>
  <si>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</si>
  <si>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</si>
  <si>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</si>
  <si>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</si>
  <si>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</si>
  <si>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</si>
  <si>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</si>
  <si>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</si>
  <si>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</si>
  <si>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</si>
  <si>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</si>
  <si>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</si>
  <si>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</si>
  <si>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</si>
  <si>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</si>
  <si>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</si>
  <si>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</si>
  <si>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</si>
  <si>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</si>
  <si>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</si>
  <si>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</si>
  <si>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</si>
  <si>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</si>
  <si>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</si>
  <si>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</si>
  <si>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</si>
  <si>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</si>
  <si>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Attrition Rate</t>
  </si>
  <si>
    <t>Average of Job Satisfaction</t>
  </si>
  <si>
    <t>Rating</t>
  </si>
  <si>
    <t>Balance Rating</t>
  </si>
  <si>
    <t xml:space="preserve"> </t>
  </si>
  <si>
    <t>Row Labels</t>
  </si>
  <si>
    <t>Grand Total</t>
  </si>
  <si>
    <t>Count of Employee Count</t>
  </si>
  <si>
    <t>attrition</t>
  </si>
  <si>
    <t>jobe roles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</si>
</sst>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2"/>
      <color theme="1"/>
      <name val="Calibri"/>
      <scheme val="minor"/>
    </font>
    <font>
      <sz val="12"/>
      <color theme="1"/>
      <name val="Calibri"/>
      <scheme val="minor"/>
    </font>
    <font>
      <sz val="12"/>
      <color rgb="FF000000"/>
      <name val="Calibri"/>
      <scheme val="minor"/>
    </font>
    <font>
      <sz val="12"/>
      <color theme="1"/>
      <name val="Lato Black"/>
      <family val="2"/>
    </font>
    <font>
      <sz val="12"/>
      <color theme="1"/>
      <name val="Calibri"/>
      <family val="2"/>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style="thin">
        <color rgb="FFABABAB"/>
      </right>
      <top style="thin">
        <color indexed="65"/>
      </top>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1" fillId="0" borderId="0" xfId="0" applyFont="1"/>
    <xf numFmtId="0" fontId="0" fillId="0" borderId="1" xfId="0" applyBorder="1"/>
    <xf numFmtId="0" fontId="0" fillId="0" borderId="3" xfId="0" applyBorder="1"/>
    <xf numFmtId="0" fontId="0" fillId="0" borderId="5" xfId="0" applyBorder="1"/>
    <xf numFmtId="0" fontId="0" fillId="0" borderId="8" xfId="0" applyBorder="1"/>
    <xf numFmtId="1" fontId="0" fillId="0" borderId="7" xfId="0" applyNumberFormat="1" applyBorder="1"/>
    <xf numFmtId="0" fontId="2" fillId="0" borderId="0" xfId="0" applyFont="1"/>
    <xf numFmtId="164" fontId="0" fillId="0" borderId="0" xfId="0" applyNumberFormat="1"/>
    <xf numFmtId="1" fontId="0" fillId="0" borderId="0" xfId="0" applyNumberFormat="1"/>
    <xf numFmtId="9" fontId="0" fillId="0" borderId="0" xfId="1" applyFont="1"/>
    <xf numFmtId="0" fontId="3" fillId="0" borderId="0" xfId="0" applyFont="1"/>
    <xf numFmtId="164" fontId="0" fillId="0" borderId="4" xfId="0" applyNumberFormat="1" applyBorder="1"/>
    <xf numFmtId="0" fontId="4" fillId="0" borderId="0" xfId="0" applyFont="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6" xfId="0" applyBorder="1" applyAlignment="1">
      <alignment horizontal="left"/>
    </xf>
    <xf numFmtId="10" fontId="0" fillId="0" borderId="3" xfId="0" applyNumberFormat="1" applyBorder="1"/>
    <xf numFmtId="10" fontId="0" fillId="0" borderId="10" xfId="0" applyNumberFormat="1" applyBorder="1"/>
    <xf numFmtId="10" fontId="0" fillId="0" borderId="4" xfId="0" applyNumberFormat="1" applyBorder="1"/>
    <xf numFmtId="0" fontId="0" fillId="0" borderId="3" xfId="0" applyNumberFormat="1" applyBorder="1"/>
    <xf numFmtId="0" fontId="0" fillId="0" borderId="10" xfId="0" applyNumberFormat="1" applyBorder="1"/>
    <xf numFmtId="0" fontId="0" fillId="0" borderId="4" xfId="0" applyNumberFormat="1" applyBorder="1"/>
    <xf numFmtId="0" fontId="0" fillId="0" borderId="6" xfId="0" applyNumberFormat="1" applyBorder="1"/>
    <xf numFmtId="0" fontId="0" fillId="0" borderId="9" xfId="0" applyNumberFormat="1" applyBorder="1"/>
  </cellXfs>
  <cellStyles count="2">
    <cellStyle name="Normal" xfId="0" builtinId="0"/>
    <cellStyle name="Percent" xfId="1" builtinId="5"/>
  </cellStyles>
  <dxfs count="16">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 formatCode="0"/>
    </dxf>
    <dxf>
      <numFmt numFmtId="164" formatCode="0.0"/>
    </dxf>
    <dxf>
      <fill>
        <patternFill>
          <bgColor theme="0" tint="-4.9989318521683403E-2"/>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tableStyle name="Data-style" pivot="0" count="3" xr9:uid="{00000000-0011-0000-FFFF-FFFF00000000}">
      <tableStyleElement type="headerRow" dxfId="15"/>
      <tableStyleElement type="firstRowStripe" dxfId="14"/>
      <tableStyleElement type="secondRowStripe" dxfId="13"/>
    </tableStyle>
    <tableStyle name="Slicer" pivot="0" table="0" count="0" xr9:uid="{75EF972B-96D0-4E1F-9F43-42FD8E1FA646}"/>
    <tableStyle name="Slicer Style 1" pivot="0" table="0" count="4" xr9:uid="{EF86B806-1519-417C-8C31-90BCD81EEAB3}">
      <tableStyleElement type="wholeTable" dxfId="12"/>
    </tableStyle>
  </tableStyles>
  <colors>
    <mruColors>
      <color rgb="FFF73F4C"/>
      <color rgb="FF951B24"/>
      <color rgb="FF990099"/>
      <color rgb="FF8A008A"/>
      <color rgb="FF245D90"/>
      <color rgb="FFCC0099"/>
      <color rgb="FFCC3399"/>
      <color rgb="FF601A54"/>
      <color rgb="FFE78DD8"/>
      <color rgb="FFA40000"/>
    </mruColors>
  </colors>
  <extLst>
    <ext xmlns:x14="http://schemas.microsoft.com/office/spreadsheetml/2009/9/main" uri="{46F421CA-312F-682f-3DD2-61675219B42D}">
      <x14:dxfs count="3">
        <dxf>
          <fill>
            <gradientFill degree="90">
              <stop position="0">
                <color theme="1" tint="0.34900967436750391"/>
              </stop>
              <stop position="1">
                <color theme="0" tint="-0.34900967436750391"/>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microsoft.com/office/2007/relationships/slicerCache" Target="slicerCaches/slicerCache1.xml"/><Relationship Id="rId25" Type="http://schemas.openxmlformats.org/officeDocument/2006/relationships/customXml" Target="../customXml/item2.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1.xml"/><Relationship Id="rId5" Type="http://schemas.openxmlformats.org/officeDocument/2006/relationships/worksheet" Target="worksheets/sheet5.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46-40DF-992B-5A5666717B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46-40DF-992B-5A5666717B01}"/>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A21B-4911-BA1A-B60880E0F87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47A5-47E2-B9AE-340EFD70F970}"/>
            </c:ext>
          </c:extLst>
        </c:ser>
        <c:ser>
          <c:idx val="1"/>
          <c:order val="1"/>
          <c:spPr>
            <a:solidFill>
              <a:schemeClr val="accent2"/>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47A5-47E2-B9AE-340EFD70F970}"/>
            </c:ext>
          </c:extLst>
        </c:ser>
        <c:dLbls>
          <c:showLegendKey val="0"/>
          <c:showVal val="0"/>
          <c:showCatName val="0"/>
          <c:showSerName val="0"/>
          <c:showPercent val="0"/>
          <c:showBubbleSize val="0"/>
        </c:dLbls>
        <c:gapWidth val="0"/>
        <c:overlap val="100"/>
        <c:axId val="1262601583"/>
        <c:axId val="1262600623"/>
      </c:barChart>
      <c:catAx>
        <c:axId val="1262601583"/>
        <c:scaling>
          <c:orientation val="minMax"/>
        </c:scaling>
        <c:delete val="1"/>
        <c:axPos val="l"/>
        <c:majorTickMark val="out"/>
        <c:minorTickMark val="none"/>
        <c:tickLblPos val="nextTo"/>
        <c:crossAx val="1262600623"/>
        <c:crosses val="autoZero"/>
        <c:auto val="1"/>
        <c:lblAlgn val="ctr"/>
        <c:lblOffset val="100"/>
        <c:noMultiLvlLbl val="0"/>
      </c:catAx>
      <c:valAx>
        <c:axId val="1262600623"/>
        <c:scaling>
          <c:orientation val="minMax"/>
          <c:max val="4"/>
        </c:scaling>
        <c:delete val="1"/>
        <c:axPos val="b"/>
        <c:numFmt formatCode="0.0" sourceLinked="1"/>
        <c:majorTickMark val="out"/>
        <c:minorTickMark val="none"/>
        <c:tickLblPos val="nextTo"/>
        <c:crossAx val="126260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BA-40AE-B060-6B318003A4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BA-40AE-B060-6B318003A408}"/>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4723-4D29-8AEE-2DC1411E629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Dashboard.xlsx]Education!Education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7CF-46CA-AB41-542567A11FF0}"/>
            </c:ext>
          </c:extLst>
        </c:ser>
        <c:dLbls>
          <c:dLblPos val="outEnd"/>
          <c:showLegendKey val="0"/>
          <c:showVal val="1"/>
          <c:showCatName val="0"/>
          <c:showSerName val="0"/>
          <c:showPercent val="0"/>
          <c:showBubbleSize val="0"/>
        </c:dLbls>
        <c:gapWidth val="182"/>
        <c:axId val="1350149615"/>
        <c:axId val="1350150575"/>
      </c:barChart>
      <c:catAx>
        <c:axId val="13501496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150575"/>
        <c:crosses val="autoZero"/>
        <c:auto val="1"/>
        <c:lblAlgn val="ctr"/>
        <c:lblOffset val="100"/>
        <c:noMultiLvlLbl val="0"/>
      </c:catAx>
      <c:valAx>
        <c:axId val="1350150575"/>
        <c:scaling>
          <c:orientation val="minMax"/>
        </c:scaling>
        <c:delete val="1"/>
        <c:axPos val="b"/>
        <c:numFmt formatCode="General" sourceLinked="1"/>
        <c:majorTickMark val="out"/>
        <c:minorTickMark val="none"/>
        <c:tickLblPos val="nextTo"/>
        <c:crossAx val="135014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Dashboard.xlsx]Dept wise Attrition!Dept wise Attrition</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6D-457B-994C-9117E8EC1D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6D-457B-994C-9117E8EC1D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6D-457B-994C-9117E8EC1DB8}"/>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BCC5-4807-A3B0-B2436757678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Dashboard.xlsx]Attrition by Age!Attrition by Age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9E7-4B73-8CF9-3B6E3C7DA58C}"/>
            </c:ext>
          </c:extLst>
        </c:ser>
        <c:dLbls>
          <c:dLblPos val="outEnd"/>
          <c:showLegendKey val="0"/>
          <c:showVal val="1"/>
          <c:showCatName val="0"/>
          <c:showSerName val="0"/>
          <c:showPercent val="0"/>
          <c:showBubbleSize val="0"/>
        </c:dLbls>
        <c:gapWidth val="219"/>
        <c:overlap val="-27"/>
        <c:axId val="1221409215"/>
        <c:axId val="1221423135"/>
      </c:barChart>
      <c:catAx>
        <c:axId val="122140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423135"/>
        <c:crosses val="autoZero"/>
        <c:auto val="1"/>
        <c:lblAlgn val="ctr"/>
        <c:lblOffset val="100"/>
        <c:noMultiLvlLbl val="0"/>
      </c:catAx>
      <c:valAx>
        <c:axId val="1221423135"/>
        <c:scaling>
          <c:orientation val="minMax"/>
        </c:scaling>
        <c:delete val="1"/>
        <c:axPos val="l"/>
        <c:numFmt formatCode="General" sourceLinked="1"/>
        <c:majorTickMark val="none"/>
        <c:minorTickMark val="none"/>
        <c:tickLblPos val="nextTo"/>
        <c:crossAx val="122140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BE4C-494E-A530-2797D70FB8B4}"/>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BE4C-494E-A530-2797D70FB8B4}"/>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BE4C-494E-A530-2797D70FB8B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75000"/>
              </a:schemeClr>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1AAA-4114-97F4-2A84C85D94F2}"/>
            </c:ext>
          </c:extLst>
        </c:ser>
        <c:ser>
          <c:idx val="1"/>
          <c:order val="1"/>
          <c:spPr>
            <a:solidFill>
              <a:schemeClr val="bg1"/>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1AAA-4114-97F4-2A84C85D94F2}"/>
            </c:ext>
          </c:extLst>
        </c:ser>
        <c:dLbls>
          <c:showLegendKey val="0"/>
          <c:showVal val="0"/>
          <c:showCatName val="0"/>
          <c:showSerName val="0"/>
          <c:showPercent val="0"/>
          <c:showBubbleSize val="0"/>
        </c:dLbls>
        <c:gapWidth val="0"/>
        <c:overlap val="100"/>
        <c:axId val="1262601583"/>
        <c:axId val="1262600623"/>
      </c:barChart>
      <c:catAx>
        <c:axId val="1262601583"/>
        <c:scaling>
          <c:orientation val="minMax"/>
        </c:scaling>
        <c:delete val="1"/>
        <c:axPos val="l"/>
        <c:majorTickMark val="out"/>
        <c:minorTickMark val="none"/>
        <c:tickLblPos val="nextTo"/>
        <c:crossAx val="1262600623"/>
        <c:crosses val="autoZero"/>
        <c:auto val="1"/>
        <c:lblAlgn val="ctr"/>
        <c:lblOffset val="100"/>
        <c:noMultiLvlLbl val="0"/>
      </c:catAx>
      <c:valAx>
        <c:axId val="1262600623"/>
        <c:scaling>
          <c:orientation val="minMax"/>
          <c:max val="4"/>
        </c:scaling>
        <c:delete val="1"/>
        <c:axPos val="b"/>
        <c:numFmt formatCode="0.0" sourceLinked="1"/>
        <c:majorTickMark val="out"/>
        <c:minorTickMark val="none"/>
        <c:tickLblPos val="nextTo"/>
        <c:crossAx val="126260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601A54"/>
                  </a:gs>
                  <a:gs pos="100000">
                    <a:srgbClr val="E78DD8"/>
                  </a:gs>
                </a:gsLst>
                <a:lin ang="10800000" scaled="0"/>
              </a:gradFill>
              <a:ln w="19050">
                <a:noFill/>
              </a:ln>
              <a:effectLst/>
            </c:spPr>
            <c:extLst>
              <c:ext xmlns:c16="http://schemas.microsoft.com/office/drawing/2014/chart" uri="{C3380CC4-5D6E-409C-BE32-E72D297353CC}">
                <c16:uniqueId val="{00000001-4318-4192-B6F9-88EFE1771BDC}"/>
              </c:ext>
            </c:extLst>
          </c:dPt>
          <c:dPt>
            <c:idx val="1"/>
            <c:bubble3D val="0"/>
            <c:spPr>
              <a:solidFill>
                <a:schemeClr val="bg1">
                  <a:lumMod val="95000"/>
                </a:schemeClr>
              </a:solidFill>
              <a:ln w="19050">
                <a:noFill/>
              </a:ln>
              <a:effectLst/>
            </c:spPr>
            <c:extLst>
              <c:ext xmlns:c16="http://schemas.microsoft.com/office/drawing/2014/chart" uri="{C3380CC4-5D6E-409C-BE32-E72D297353CC}">
                <c16:uniqueId val="{00000003-4318-4192-B6F9-88EFE1771BDC}"/>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4318-4192-B6F9-88EFE1771BD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95000"/>
                </a:schemeClr>
              </a:solidFill>
              <a:ln w="19050">
                <a:noFill/>
              </a:ln>
              <a:effectLst/>
            </c:spPr>
            <c:extLst>
              <c:ext xmlns:c16="http://schemas.microsoft.com/office/drawing/2014/chart" uri="{C3380CC4-5D6E-409C-BE32-E72D297353CC}">
                <c16:uniqueId val="{00000001-36AB-4C67-90B6-E3AB73B4D1C5}"/>
              </c:ext>
            </c:extLst>
          </c:dPt>
          <c:dPt>
            <c:idx val="1"/>
            <c:bubble3D val="0"/>
            <c:spPr>
              <a:gradFill>
                <a:gsLst>
                  <a:gs pos="0">
                    <a:schemeClr val="accent1">
                      <a:lumMod val="50000"/>
                    </a:schemeClr>
                  </a:gs>
                  <a:gs pos="100000">
                    <a:schemeClr val="accent5">
                      <a:lumMod val="75000"/>
                    </a:schemeClr>
                  </a:gs>
                </a:gsLst>
                <a:lin ang="10800000" scaled="0"/>
              </a:gradFill>
              <a:ln w="19050">
                <a:noFill/>
              </a:ln>
              <a:effectLst/>
            </c:spPr>
            <c:extLst>
              <c:ext xmlns:c16="http://schemas.microsoft.com/office/drawing/2014/chart" uri="{C3380CC4-5D6E-409C-BE32-E72D297353CC}">
                <c16:uniqueId val="{00000003-36AB-4C67-90B6-E3AB73B4D1C5}"/>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36AB-4C67-90B6-E3AB73B4D1C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Dashboard.xlsx]Education!Education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
                <a:schemeClr val="accent6">
                  <a:lumMod val="50000"/>
                </a:schemeClr>
              </a:gs>
              <a:gs pos="90000">
                <a:schemeClr val="accent6">
                  <a:lumMod val="75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Education!$B$3</c:f>
              <c:strCache>
                <c:ptCount val="1"/>
                <c:pt idx="0">
                  <c:v>Total</c:v>
                </c:pt>
              </c:strCache>
            </c:strRef>
          </c:tx>
          <c:spPr>
            <a:gradFill>
              <a:gsLst>
                <a:gs pos="10000">
                  <a:schemeClr val="accent6">
                    <a:lumMod val="50000"/>
                  </a:schemeClr>
                </a:gs>
                <a:gs pos="90000">
                  <a:schemeClr val="accent6">
                    <a:lumMod val="75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Education!$A$4:$A$9</c:f>
              <c:strCache>
                <c:ptCount val="5"/>
                <c:pt idx="0">
                  <c:v>Doctoral Degree</c:v>
                </c:pt>
                <c:pt idx="1">
                  <c:v>High School</c:v>
                </c:pt>
                <c:pt idx="2">
                  <c:v>Associates Degree</c:v>
                </c:pt>
                <c:pt idx="3">
                  <c:v>Master's Degree</c:v>
                </c:pt>
                <c:pt idx="4">
                  <c:v>Bachelor's Degree</c:v>
                </c:pt>
              </c:strCache>
            </c:strRef>
          </c:cat>
          <c:val>
            <c:numRef>
              <c:f>Education!$B$4:$B$9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18A-4F65-AF7B-39C94D1BD9DB}"/>
            </c:ext>
          </c:extLst>
        </c:ser>
        <c:dLbls>
          <c:dLblPos val="outEnd"/>
          <c:showLegendKey val="0"/>
          <c:showVal val="1"/>
          <c:showCatName val="0"/>
          <c:showSerName val="0"/>
          <c:showPercent val="0"/>
          <c:showBubbleSize val="0"/>
        </c:dLbls>
        <c:gapWidth val="75"/>
        <c:axId val="1350149615"/>
        <c:axId val="1350150575"/>
      </c:barChart>
      <c:catAx>
        <c:axId val="135014961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crossAx val="1350150575"/>
        <c:crosses val="autoZero"/>
        <c:auto val="1"/>
        <c:lblAlgn val="ctr"/>
        <c:lblOffset val="100"/>
        <c:noMultiLvlLbl val="0"/>
      </c:catAx>
      <c:valAx>
        <c:axId val="1350150575"/>
        <c:scaling>
          <c:orientation val="minMax"/>
        </c:scaling>
        <c:delete val="1"/>
        <c:axPos val="b"/>
        <c:numFmt formatCode="General" sourceLinked="1"/>
        <c:majorTickMark val="out"/>
        <c:minorTickMark val="none"/>
        <c:tickLblPos val="nextTo"/>
        <c:crossAx val="135014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0000">
                <a:schemeClr val="accent4">
                  <a:lumMod val="50000"/>
                </a:schemeClr>
              </a:gs>
              <a:gs pos="90000">
                <a:schemeClr val="accent4"/>
              </a:gs>
            </a:gsLst>
            <a:lin ang="10800000" scaled="0"/>
          </a:gradFill>
          <a:ln w="19050">
            <a:noFill/>
          </a:ln>
          <a:effectLst/>
        </c:spPr>
      </c:pivotFmt>
      <c:pivotFmt>
        <c:idx val="7"/>
        <c:spPr>
          <a:gradFill>
            <a:gsLst>
              <a:gs pos="10000">
                <a:srgbClr val="951B24"/>
              </a:gs>
              <a:gs pos="90000">
                <a:srgbClr val="F73F4C"/>
              </a:gs>
            </a:gsLst>
            <a:lin ang="10800000" scaled="0"/>
          </a:gradFill>
          <a:ln w="19050">
            <a:noFill/>
          </a:ln>
          <a:effectLst/>
        </c:spPr>
      </c:pivotFmt>
      <c:pivotFmt>
        <c:idx val="8"/>
        <c:spPr>
          <a:gradFill>
            <a:gsLst>
              <a:gs pos="10000">
                <a:schemeClr val="accent5">
                  <a:lumMod val="50000"/>
                </a:schemeClr>
              </a:gs>
              <a:gs pos="90000">
                <a:schemeClr val="accent5">
                  <a:lumMod val="75000"/>
                </a:schemeClr>
              </a:gs>
            </a:gsLst>
            <a:lin ang="5400000" scaled="0"/>
          </a:gradFill>
          <a:ln w="19050">
            <a:noFill/>
          </a:ln>
          <a:effectLst/>
        </c:spPr>
      </c:pivotFmt>
    </c:pivotFmts>
    <c:plotArea>
      <c:layout/>
      <c:pieChart>
        <c:varyColors val="1"/>
        <c:ser>
          <c:idx val="0"/>
          <c:order val="0"/>
          <c:tx>
            <c:strRef>
              <c:f>'Dept wise Attrition'!$B$3</c:f>
              <c:strCache>
                <c:ptCount val="1"/>
                <c:pt idx="0">
                  <c:v>Total</c:v>
                </c:pt>
              </c:strCache>
            </c:strRef>
          </c:tx>
          <c:spPr>
            <a:ln>
              <a:noFill/>
            </a:ln>
          </c:spPr>
          <c:dPt>
            <c:idx val="0"/>
            <c:bubble3D val="0"/>
            <c:spPr>
              <a:gradFill>
                <a:gsLst>
                  <a:gs pos="10000">
                    <a:schemeClr val="accent4">
                      <a:lumMod val="50000"/>
                    </a:schemeClr>
                  </a:gs>
                  <a:gs pos="90000">
                    <a:schemeClr val="accent4"/>
                  </a:gs>
                </a:gsLst>
                <a:lin ang="10800000" scaled="0"/>
              </a:gradFill>
              <a:ln w="19050">
                <a:noFill/>
              </a:ln>
              <a:effectLst/>
            </c:spPr>
            <c:extLst>
              <c:ext xmlns:c16="http://schemas.microsoft.com/office/drawing/2014/chart" uri="{C3380CC4-5D6E-409C-BE32-E72D297353CC}">
                <c16:uniqueId val="{00000001-BE3B-4BFF-A806-71D2D16B9771}"/>
              </c:ext>
            </c:extLst>
          </c:dPt>
          <c:dPt>
            <c:idx val="1"/>
            <c:bubble3D val="0"/>
            <c:spPr>
              <a:gradFill>
                <a:gsLst>
                  <a:gs pos="10000">
                    <a:srgbClr val="951B24"/>
                  </a:gs>
                  <a:gs pos="90000">
                    <a:srgbClr val="F73F4C"/>
                  </a:gs>
                </a:gsLst>
                <a:lin ang="10800000" scaled="0"/>
              </a:gradFill>
              <a:ln w="19050">
                <a:noFill/>
              </a:ln>
              <a:effectLst/>
            </c:spPr>
            <c:extLst>
              <c:ext xmlns:c16="http://schemas.microsoft.com/office/drawing/2014/chart" uri="{C3380CC4-5D6E-409C-BE32-E72D297353CC}">
                <c16:uniqueId val="{00000003-BE3B-4BFF-A806-71D2D16B9771}"/>
              </c:ext>
            </c:extLst>
          </c:dPt>
          <c:dPt>
            <c:idx val="2"/>
            <c:bubble3D val="0"/>
            <c:spPr>
              <a:gradFill>
                <a:gsLst>
                  <a:gs pos="10000">
                    <a:schemeClr val="accent5">
                      <a:lumMod val="50000"/>
                    </a:schemeClr>
                  </a:gs>
                  <a:gs pos="90000">
                    <a:schemeClr val="accent5">
                      <a:lumMod val="75000"/>
                    </a:schemeClr>
                  </a:gs>
                </a:gsLst>
                <a:lin ang="5400000" scaled="0"/>
              </a:gradFill>
              <a:ln w="19050">
                <a:noFill/>
              </a:ln>
              <a:effectLst/>
            </c:spPr>
            <c:extLst>
              <c:ext xmlns:c16="http://schemas.microsoft.com/office/drawing/2014/chart" uri="{C3380CC4-5D6E-409C-BE32-E72D297353CC}">
                <c16:uniqueId val="{00000005-BE3B-4BFF-A806-71D2D16B9771}"/>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BE3B-4BFF-A806-71D2D16B9771}"/>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7105983735585981"/>
          <c:y val="0.21188040192606888"/>
          <c:w val="0.20619648744531222"/>
          <c:h val="0.47516921190073963"/>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 Dashboard.xlsx]Attrition by Age!Attrition by Age</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7000">
                <a:schemeClr val="accent2">
                  <a:lumMod val="50000"/>
                </a:schemeClr>
              </a:gs>
              <a:gs pos="90000">
                <a:schemeClr val="accent2">
                  <a:lumMod val="75000"/>
                </a:scheme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gradFill>
              <a:gsLst>
                <a:gs pos="7000">
                  <a:schemeClr val="accent2">
                    <a:lumMod val="50000"/>
                  </a:schemeClr>
                </a:gs>
                <a:gs pos="90000">
                  <a:schemeClr val="accent2">
                    <a:lumMod val="75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B66-40B0-8151-E623B1B3494A}"/>
            </c:ext>
          </c:extLst>
        </c:ser>
        <c:dLbls>
          <c:dLblPos val="outEnd"/>
          <c:showLegendKey val="0"/>
          <c:showVal val="1"/>
          <c:showCatName val="0"/>
          <c:showSerName val="0"/>
          <c:showPercent val="0"/>
          <c:showBubbleSize val="0"/>
        </c:dLbls>
        <c:gapWidth val="75"/>
        <c:overlap val="-27"/>
        <c:axId val="1221409215"/>
        <c:axId val="1221423135"/>
      </c:barChart>
      <c:catAx>
        <c:axId val="122140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2"/>
                </a:solidFill>
                <a:latin typeface="+mn-lt"/>
                <a:ea typeface="+mn-ea"/>
                <a:cs typeface="+mn-cs"/>
              </a:defRPr>
            </a:pPr>
            <a:endParaRPr lang="en-US"/>
          </a:p>
        </c:txPr>
        <c:crossAx val="1221423135"/>
        <c:crosses val="autoZero"/>
        <c:auto val="1"/>
        <c:lblAlgn val="ctr"/>
        <c:lblOffset val="100"/>
        <c:noMultiLvlLbl val="0"/>
      </c:catAx>
      <c:valAx>
        <c:axId val="1221423135"/>
        <c:scaling>
          <c:orientation val="minMax"/>
        </c:scaling>
        <c:delete val="1"/>
        <c:axPos val="l"/>
        <c:numFmt formatCode="General" sourceLinked="1"/>
        <c:majorTickMark val="none"/>
        <c:minorTickMark val="none"/>
        <c:tickLblPos val="nextTo"/>
        <c:crossAx val="122140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6A92569D-16B7-42E1-9358-D06CF233C83F}">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42DB8E3D-2FF5-4623-BF4B-C61305782F90}">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6A92569D-16B7-42E1-9358-D06CF233C83F}">
          <cx:dataPt idx="0">
            <cx:spPr>
              <a:solidFill>
                <a:srgbClr val="FFC000"/>
              </a:solidFill>
            </cx:spPr>
          </cx:dataPt>
          <cx:dataPt idx="2">
            <cx:spPr>
              <a:solidFill>
                <a:srgbClr val="0070C0"/>
              </a:solidFill>
            </cx:spPr>
          </cx:dataPt>
          <cx:dataPt idx="3">
            <cx:spPr>
              <a:solidFill>
                <a:srgbClr val="990099"/>
              </a:solidFill>
            </cx:spPr>
          </cx:dataPt>
          <cx:dataLabels pos="inEnd">
            <cx:txPr>
              <a:bodyPr spcFirstLastPara="1" vertOverflow="ellipsis" horzOverflow="overflow" wrap="square" lIns="0" tIns="0" rIns="0" bIns="0" anchor="ctr" anchorCtr="1"/>
              <a:lstStyle/>
              <a:p>
                <a:pPr algn="ctr" rtl="0">
                  <a:defRPr sz="900" b="1"/>
                </a:pPr>
                <a:endParaRPr lang="en-US" sz="900" b="1" i="0" u="none" strike="noStrike" baseline="0">
                  <a:solidFill>
                    <a:srgbClr val="FFFFFF"/>
                  </a:solidFill>
                  <a:latin typeface="Calibri"/>
                  <a:ea typeface="Calibri"/>
                  <a:cs typeface="Calibri"/>
                </a:endParaRPr>
              </a:p>
            </cx:txPr>
            <cx:visibility seriesName="0" categoryName="1" value="0"/>
            <cx:dataLabel idx="2">
              <cx:txPr>
                <a:bodyPr spcFirstLastPara="1" vertOverflow="ellipsis" horzOverflow="overflow" wrap="square" lIns="0" tIns="0" rIns="0" bIns="0" anchor="ctr" anchorCtr="1"/>
                <a:lstStyle/>
                <a:p>
                  <a:pPr algn="ctr" rtl="0">
                    <a:defRPr b="1"/>
                  </a:pPr>
                  <a:r>
                    <a:rPr lang="en-US" sz="900" b="1" i="0" u="none" strike="noStrike" baseline="0">
                      <a:solidFill>
                        <a:srgbClr val="FFFFFF"/>
                      </a:solidFill>
                      <a:latin typeface="Calibri"/>
                      <a:ea typeface="Calibri"/>
                      <a:cs typeface="Calibri"/>
                    </a:rPr>
                    <a:t>Laboratory Technician</a:t>
                  </a:r>
                </a:p>
              </cx:txPr>
            </cx:dataLabel>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42DB8E3D-2FF5-4623-BF4B-C61305782F90}">
          <cx:spPr>
            <a:gradFill>
              <a:gsLst>
                <a:gs pos="24000">
                  <a:schemeClr val="accent6">
                    <a:lumMod val="50000"/>
                  </a:schemeClr>
                </a:gs>
                <a:gs pos="68000">
                  <a:schemeClr val="accent6"/>
                </a:gs>
              </a:gsLst>
              <a:lin ang="10800000" scaled="0"/>
            </a:gradFill>
            <a:ln>
              <a:noFill/>
            </a:ln>
          </cx:spPr>
          <cx:dataLabels>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chemeClr val="tx2"/>
                </a:solidFill>
              </a:defRPr>
            </a:pPr>
            <a:endParaRPr lang="en-US" sz="1000" b="1" i="0" u="none" strike="noStrike" baseline="0">
              <a:solidFill>
                <a:schemeClr val="tx2"/>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4</xdr:col>
      <xdr:colOff>376904</xdr:colOff>
      <xdr:row>2</xdr:row>
      <xdr:rowOff>34290</xdr:rowOff>
    </xdr:from>
    <xdr:to>
      <xdr:col>5</xdr:col>
      <xdr:colOff>516194</xdr:colOff>
      <xdr:row>7</xdr:row>
      <xdr:rowOff>65549</xdr:rowOff>
    </xdr:to>
    <xdr:graphicFrame macro="">
      <xdr:nvGraphicFramePr>
        <xdr:cNvPr id="2" name="Chart 1">
          <a:extLst>
            <a:ext uri="{FF2B5EF4-FFF2-40B4-BE49-F238E27FC236}">
              <a16:creationId xmlns:a16="http://schemas.microsoft.com/office/drawing/2014/main" id="{9269865E-61E0-72EF-AAE7-B39CBE8182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175260</xdr:colOff>
      <xdr:row>2</xdr:row>
      <xdr:rowOff>45721</xdr:rowOff>
    </xdr:from>
    <xdr:to>
      <xdr:col>10</xdr:col>
      <xdr:colOff>662940</xdr:colOff>
      <xdr:row>9</xdr:row>
      <xdr:rowOff>7621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E13597CD-495A-65FA-B509-81A7D6979EE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869389" y="439011"/>
              <a:ext cx="1831422" cy="1338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1560870</xdr:colOff>
      <xdr:row>15</xdr:row>
      <xdr:rowOff>95046</xdr:rowOff>
    </xdr:from>
    <xdr:to>
      <xdr:col>7</xdr:col>
      <xdr:colOff>110612</xdr:colOff>
      <xdr:row>21</xdr:row>
      <xdr:rowOff>90129</xdr:rowOff>
    </xdr:to>
    <xdr:graphicFrame macro="">
      <xdr:nvGraphicFramePr>
        <xdr:cNvPr id="7" name="Chart 6">
          <a:extLst>
            <a:ext uri="{FF2B5EF4-FFF2-40B4-BE49-F238E27FC236}">
              <a16:creationId xmlns:a16="http://schemas.microsoft.com/office/drawing/2014/main" id="{BB73B56F-8AFF-9382-C5F8-ED21299901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19665</xdr:colOff>
      <xdr:row>9</xdr:row>
      <xdr:rowOff>178457</xdr:rowOff>
    </xdr:from>
    <xdr:to>
      <xdr:col>13</xdr:col>
      <xdr:colOff>504723</xdr:colOff>
      <xdr:row>22</xdr:row>
      <xdr:rowOff>16387</xdr:rowOff>
    </xdr:to>
    <mc:AlternateContent xmlns:mc="http://schemas.openxmlformats.org/markup-compatibility/2006" xmlns:a14="http://schemas.microsoft.com/office/drawing/2010/main">
      <mc:Choice Requires="a14">
        <xdr:graphicFrame macro="">
          <xdr:nvGraphicFramePr>
            <xdr:cNvPr id="8" name="Education Field">
              <a:extLst>
                <a:ext uri="{FF2B5EF4-FFF2-40B4-BE49-F238E27FC236}">
                  <a16:creationId xmlns:a16="http://schemas.microsoft.com/office/drawing/2014/main" id="{F1E11154-899F-AF8D-1D73-3A5D795042F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729407" y="1948263"/>
              <a:ext cx="1828800" cy="2394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571500</xdr:colOff>
      <xdr:row>1</xdr:row>
      <xdr:rowOff>160020</xdr:rowOff>
    </xdr:from>
    <xdr:to>
      <xdr:col>8</xdr:col>
      <xdr:colOff>388620</xdr:colOff>
      <xdr:row>15</xdr:row>
      <xdr:rowOff>81915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1208206D-B903-FFA9-9A53-17200656945F}"/>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250180" y="3581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xdr:colOff>
      <xdr:row>4</xdr:row>
      <xdr:rowOff>190500</xdr:rowOff>
    </xdr:from>
    <xdr:to>
      <xdr:col>11</xdr:col>
      <xdr:colOff>502920</xdr:colOff>
      <xdr:row>11</xdr:row>
      <xdr:rowOff>68579</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576849DB-49B3-A101-A42F-20108EAC242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376160" y="982980"/>
              <a:ext cx="1828800" cy="1264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163830</xdr:colOff>
      <xdr:row>15</xdr:row>
      <xdr:rowOff>72390</xdr:rowOff>
    </xdr:from>
    <xdr:to>
      <xdr:col>11</xdr:col>
      <xdr:colOff>228600</xdr:colOff>
      <xdr:row>23</xdr:row>
      <xdr:rowOff>45720</xdr:rowOff>
    </xdr:to>
    <xdr:graphicFrame macro="">
      <xdr:nvGraphicFramePr>
        <xdr:cNvPr id="4" name="Chart 3">
          <a:extLst>
            <a:ext uri="{FF2B5EF4-FFF2-40B4-BE49-F238E27FC236}">
              <a16:creationId xmlns:a16="http://schemas.microsoft.com/office/drawing/2014/main" id="{CCC03B1A-097F-46E2-1D86-782904A2D1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125730</xdr:colOff>
      <xdr:row>5</xdr:row>
      <xdr:rowOff>121920</xdr:rowOff>
    </xdr:from>
    <xdr:to>
      <xdr:col>11</xdr:col>
      <xdr:colOff>3810</xdr:colOff>
      <xdr:row>19</xdr:row>
      <xdr:rowOff>91440</xdr:rowOff>
    </xdr:to>
    <xdr:graphicFrame macro="">
      <xdr:nvGraphicFramePr>
        <xdr:cNvPr id="2" name="Chart 1">
          <a:extLst>
            <a:ext uri="{FF2B5EF4-FFF2-40B4-BE49-F238E27FC236}">
              <a16:creationId xmlns:a16="http://schemas.microsoft.com/office/drawing/2014/main" id="{9D3A4D54-48FB-F93B-8332-18183E42FF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262890</xdr:colOff>
      <xdr:row>4</xdr:row>
      <xdr:rowOff>87630</xdr:rowOff>
    </xdr:from>
    <xdr:to>
      <xdr:col>12</xdr:col>
      <xdr:colOff>182880</xdr:colOff>
      <xdr:row>21</xdr:row>
      <xdr:rowOff>30480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5B5E5A1-FF72-7E3C-701B-C7A3121945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233410" y="880110"/>
              <a:ext cx="3272790" cy="331089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453390</xdr:colOff>
      <xdr:row>5</xdr:row>
      <xdr:rowOff>140970</xdr:rowOff>
    </xdr:from>
    <xdr:to>
      <xdr:col>7</xdr:col>
      <xdr:colOff>411480</xdr:colOff>
      <xdr:row>17</xdr:row>
      <xdr:rowOff>152400</xdr:rowOff>
    </xdr:to>
    <xdr:graphicFrame macro="">
      <xdr:nvGraphicFramePr>
        <xdr:cNvPr id="2" name="Chart 1">
          <a:extLst>
            <a:ext uri="{FF2B5EF4-FFF2-40B4-BE49-F238E27FC236}">
              <a16:creationId xmlns:a16="http://schemas.microsoft.com/office/drawing/2014/main" id="{B1C9C386-D491-926C-770B-4FC69B49F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453390</xdr:colOff>
      <xdr:row>5</xdr:row>
      <xdr:rowOff>140970</xdr:rowOff>
    </xdr:from>
    <xdr:to>
      <xdr:col>9</xdr:col>
      <xdr:colOff>331470</xdr:colOff>
      <xdr:row>19</xdr:row>
      <xdr:rowOff>110490</xdr:rowOff>
    </xdr:to>
    <xdr:graphicFrame macro="">
      <xdr:nvGraphicFramePr>
        <xdr:cNvPr id="2" name="Chart 1">
          <a:extLst>
            <a:ext uri="{FF2B5EF4-FFF2-40B4-BE49-F238E27FC236}">
              <a16:creationId xmlns:a16="http://schemas.microsoft.com/office/drawing/2014/main" id="{2ACC6DD0-AADA-E3E8-0F58-80973AA27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587637</xdr:colOff>
      <xdr:row>5</xdr:row>
      <xdr:rowOff>4034</xdr:rowOff>
    </xdr:from>
    <xdr:to>
      <xdr:col>15</xdr:col>
      <xdr:colOff>35859</xdr:colOff>
      <xdr:row>15</xdr:row>
      <xdr:rowOff>98612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B09E8E5B-3C28-1B6B-ABE3-63C233021B1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000578" y="990152"/>
              <a:ext cx="1465281" cy="20668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9861</xdr:colOff>
      <xdr:row>4</xdr:row>
      <xdr:rowOff>179296</xdr:rowOff>
    </xdr:from>
    <xdr:to>
      <xdr:col>12</xdr:col>
      <xdr:colOff>493955</xdr:colOff>
      <xdr:row>15</xdr:row>
      <xdr:rowOff>116541</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1EC2AEEB-789C-F544-9534-FED61BEC662B}"/>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8078096" y="968190"/>
              <a:ext cx="1828800" cy="2106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53340</xdr:colOff>
      <xdr:row>9</xdr:row>
      <xdr:rowOff>53340</xdr:rowOff>
    </xdr:from>
    <xdr:to>
      <xdr:col>8</xdr:col>
      <xdr:colOff>396240</xdr:colOff>
      <xdr:row>19</xdr:row>
      <xdr:rowOff>22860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4A0D35BF-DFBF-7DFA-16EE-DC237909AA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425440" y="1836420"/>
              <a:ext cx="3025140" cy="19507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373380</xdr:colOff>
      <xdr:row>1</xdr:row>
      <xdr:rowOff>106681</xdr:rowOff>
    </xdr:from>
    <xdr:to>
      <xdr:col>8</xdr:col>
      <xdr:colOff>190500</xdr:colOff>
      <xdr:row>7</xdr:row>
      <xdr:rowOff>114301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54D78F6-0AC9-2C6A-4C7A-131E86D71EC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139940" y="304801"/>
              <a:ext cx="1828800" cy="1196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oneCellAnchor>
    <xdr:from>
      <xdr:col>3</xdr:col>
      <xdr:colOff>582729</xdr:colOff>
      <xdr:row>7</xdr:row>
      <xdr:rowOff>27510</xdr:rowOff>
    </xdr:from>
    <xdr:ext cx="13665200" cy="8297333"/>
    <xdr:grpSp>
      <xdr:nvGrpSpPr>
        <xdr:cNvPr id="2" name="Shape 2">
          <a:extLst>
            <a:ext uri="{FF2B5EF4-FFF2-40B4-BE49-F238E27FC236}">
              <a16:creationId xmlns:a16="http://schemas.microsoft.com/office/drawing/2014/main" id="{00000000-0008-0000-0300-000002000000}"/>
            </a:ext>
          </a:extLst>
        </xdr:cNvPr>
        <xdr:cNvGrpSpPr/>
      </xdr:nvGrpSpPr>
      <xdr:grpSpPr>
        <a:xfrm>
          <a:off x="2536220" y="1385255"/>
          <a:ext cx="13665200" cy="8297333"/>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solidFill>
                  <a:srgbClr val="800000"/>
                </a:solidFill>
              </a:endParaRPr>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rgbClr val="800000"/>
                  </a:solidFill>
                  <a:latin typeface="Calibri"/>
                  <a:ea typeface="Calibri"/>
                  <a:cs typeface="Calibri"/>
                  <a:sym typeface="Calibri"/>
                </a:rPr>
                <a:t>`</a:t>
              </a:r>
              <a:endParaRPr sz="1400">
                <a:solidFill>
                  <a:srgbClr val="800000"/>
                </a:solidFill>
              </a:endParaRPr>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80000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800000"/>
                </a:solidFill>
              </a:endParaRPr>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800000"/>
                </a:solidFill>
              </a:endParaRPr>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800000"/>
                  </a:solidFill>
                </a:endParaRPr>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800000"/>
                  </a:solidFill>
                </a:endParaRPr>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800000"/>
                  </a:solidFill>
                </a:endParaRPr>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800000"/>
                  </a:solidFill>
                </a:endParaRPr>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800000"/>
                  </a:solidFill>
                </a:endParaRPr>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800000"/>
                  </a:solidFill>
                </a:endParaRPr>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solidFill>
                <a:schemeClr val="bg2">
                  <a:alpha val="94901"/>
                </a:schemeClr>
              </a:solid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800000"/>
                </a:solidFill>
              </a:endParaRPr>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800000"/>
                </a:solidFill>
              </a:endParaRPr>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800000"/>
                </a:solidFill>
              </a:endParaRPr>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800000"/>
                </a:solidFill>
              </a:endParaRPr>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bg2">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solidFill>
                  <a:srgbClr val="800000"/>
                </a:solidFill>
              </a:endParaRPr>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4</xdr:col>
      <xdr:colOff>65516</xdr:colOff>
      <xdr:row>13</xdr:row>
      <xdr:rowOff>43441</xdr:rowOff>
    </xdr:from>
    <xdr:to>
      <xdr:col>7</xdr:col>
      <xdr:colOff>167899</xdr:colOff>
      <xdr:row>15</xdr:row>
      <xdr:rowOff>51660</xdr:rowOff>
    </xdr:to>
    <xdr:sp macro="" textlink="">
      <xdr:nvSpPr>
        <xdr:cNvPr id="21" name="TextBox 20">
          <a:extLst>
            <a:ext uri="{FF2B5EF4-FFF2-40B4-BE49-F238E27FC236}">
              <a16:creationId xmlns:a16="http://schemas.microsoft.com/office/drawing/2014/main" id="{7F4E9FEC-E108-A738-ED30-2439B7CCBC58}"/>
            </a:ext>
          </a:extLst>
        </xdr:cNvPr>
        <xdr:cNvSpPr txBox="1"/>
      </xdr:nvSpPr>
      <xdr:spPr>
        <a:xfrm>
          <a:off x="2678087" y="2519941"/>
          <a:ext cx="2061812" cy="389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a:solidFill>
                <a:srgbClr val="A40000"/>
              </a:solidFill>
              <a:latin typeface="Lato Black" panose="020F0502020204030203" pitchFamily="34" charset="0"/>
              <a:ea typeface="Lato Black" panose="020F0502020204030203" pitchFamily="34" charset="0"/>
              <a:cs typeface="Lato Black" panose="020F0502020204030203" pitchFamily="34" charset="0"/>
            </a:rPr>
            <a:t>TOTAL EMPLOYEES</a:t>
          </a:r>
        </a:p>
      </xdr:txBody>
    </xdr:sp>
    <xdr:clientData/>
  </xdr:twoCellAnchor>
  <xdr:twoCellAnchor>
    <xdr:from>
      <xdr:col>4</xdr:col>
      <xdr:colOff>400374</xdr:colOff>
      <xdr:row>14</xdr:row>
      <xdr:rowOff>167899</xdr:rowOff>
    </xdr:from>
    <xdr:to>
      <xdr:col>7</xdr:col>
      <xdr:colOff>245390</xdr:colOff>
      <xdr:row>17</xdr:row>
      <xdr:rowOff>64576</xdr:rowOff>
    </xdr:to>
    <xdr:sp macro="" textlink="KPI!A8">
      <xdr:nvSpPr>
        <xdr:cNvPr id="22" name="TextBox 21">
          <a:extLst>
            <a:ext uri="{FF2B5EF4-FFF2-40B4-BE49-F238E27FC236}">
              <a16:creationId xmlns:a16="http://schemas.microsoft.com/office/drawing/2014/main" id="{E4A41A36-908C-ECB2-5F76-A1973364B8B1}"/>
            </a:ext>
          </a:extLst>
        </xdr:cNvPr>
        <xdr:cNvSpPr txBox="1"/>
      </xdr:nvSpPr>
      <xdr:spPr>
        <a:xfrm>
          <a:off x="3035086" y="2880102"/>
          <a:ext cx="1821050" cy="477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048CE65-086E-425E-85B1-F374CFA98DD6}"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491385</xdr:colOff>
      <xdr:row>14</xdr:row>
      <xdr:rowOff>177798</xdr:rowOff>
    </xdr:from>
    <xdr:to>
      <xdr:col>11</xdr:col>
      <xdr:colOff>336401</xdr:colOff>
      <xdr:row>17</xdr:row>
      <xdr:rowOff>74475</xdr:rowOff>
    </xdr:to>
    <xdr:sp macro="" textlink="KPI!A8">
      <xdr:nvSpPr>
        <xdr:cNvPr id="109" name="TextBox 108">
          <a:extLst>
            <a:ext uri="{FF2B5EF4-FFF2-40B4-BE49-F238E27FC236}">
              <a16:creationId xmlns:a16="http://schemas.microsoft.com/office/drawing/2014/main" id="{A1F7B6BB-A4BC-42EB-B49A-ACCD36DB2553}"/>
            </a:ext>
          </a:extLst>
        </xdr:cNvPr>
        <xdr:cNvSpPr txBox="1"/>
      </xdr:nvSpPr>
      <xdr:spPr>
        <a:xfrm>
          <a:off x="5760809" y="2890001"/>
          <a:ext cx="1821050" cy="477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169441</xdr:colOff>
      <xdr:row>13</xdr:row>
      <xdr:rowOff>27510</xdr:rowOff>
    </xdr:from>
    <xdr:to>
      <xdr:col>11</xdr:col>
      <xdr:colOff>271824</xdr:colOff>
      <xdr:row>15</xdr:row>
      <xdr:rowOff>35729</xdr:rowOff>
    </xdr:to>
    <xdr:sp macro="" textlink="">
      <xdr:nvSpPr>
        <xdr:cNvPr id="112" name="TextBox 111">
          <a:extLst>
            <a:ext uri="{FF2B5EF4-FFF2-40B4-BE49-F238E27FC236}">
              <a16:creationId xmlns:a16="http://schemas.microsoft.com/office/drawing/2014/main" id="{6E2D483F-D61A-45C5-A69B-C548F2E121FB}"/>
            </a:ext>
          </a:extLst>
        </xdr:cNvPr>
        <xdr:cNvSpPr txBox="1"/>
      </xdr:nvSpPr>
      <xdr:spPr>
        <a:xfrm>
          <a:off x="5438865" y="2545985"/>
          <a:ext cx="2078417" cy="395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a:solidFill>
                <a:srgbClr val="A40000"/>
              </a:solidFill>
              <a:latin typeface="Lato Black" panose="020F0502020204030203" pitchFamily="34" charset="0"/>
              <a:ea typeface="Lato Black" panose="020F0502020204030203" pitchFamily="34" charset="0"/>
              <a:cs typeface="Lato Black" panose="020F0502020204030203" pitchFamily="34" charset="0"/>
            </a:rPr>
            <a:t>ATTRITION</a:t>
          </a:r>
          <a:r>
            <a:rPr lang="en-US" sz="1500" baseline="0">
              <a:solidFill>
                <a:srgbClr val="A40000"/>
              </a:solidFill>
              <a:latin typeface="Lato Black" panose="020F0502020204030203" pitchFamily="34" charset="0"/>
              <a:ea typeface="Lato Black" panose="020F0502020204030203" pitchFamily="34" charset="0"/>
              <a:cs typeface="Lato Black" panose="020F0502020204030203" pitchFamily="34" charset="0"/>
            </a:rPr>
            <a:t> COUNT</a:t>
          </a:r>
          <a:endParaRPr lang="en-US" sz="1500">
            <a:solidFill>
              <a:srgbClr val="A4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491385</xdr:colOff>
      <xdr:row>14</xdr:row>
      <xdr:rowOff>177799</xdr:rowOff>
    </xdr:from>
    <xdr:to>
      <xdr:col>11</xdr:col>
      <xdr:colOff>336401</xdr:colOff>
      <xdr:row>17</xdr:row>
      <xdr:rowOff>74476</xdr:rowOff>
    </xdr:to>
    <xdr:sp macro="" textlink="KPI!B8">
      <xdr:nvSpPr>
        <xdr:cNvPr id="113" name="TextBox 112">
          <a:extLst>
            <a:ext uri="{FF2B5EF4-FFF2-40B4-BE49-F238E27FC236}">
              <a16:creationId xmlns:a16="http://schemas.microsoft.com/office/drawing/2014/main" id="{B35E2296-65B0-4E9A-9C7F-AAA096F920A7}"/>
            </a:ext>
          </a:extLst>
        </xdr:cNvPr>
        <xdr:cNvSpPr txBox="1"/>
      </xdr:nvSpPr>
      <xdr:spPr>
        <a:xfrm>
          <a:off x="5760809" y="2890002"/>
          <a:ext cx="1821050" cy="477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F015B2B-388B-49C7-8DB7-0C6DCF0FF631}"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210411</xdr:colOff>
      <xdr:row>13</xdr:row>
      <xdr:rowOff>59466</xdr:rowOff>
    </xdr:from>
    <xdr:to>
      <xdr:col>15</xdr:col>
      <xdr:colOff>312795</xdr:colOff>
      <xdr:row>15</xdr:row>
      <xdr:rowOff>67685</xdr:rowOff>
    </xdr:to>
    <xdr:sp macro="" textlink="">
      <xdr:nvSpPr>
        <xdr:cNvPr id="201" name="TextBox 200">
          <a:extLst>
            <a:ext uri="{FF2B5EF4-FFF2-40B4-BE49-F238E27FC236}">
              <a16:creationId xmlns:a16="http://schemas.microsoft.com/office/drawing/2014/main" id="{E302B94C-C027-411F-BDF1-0775D31A3A37}"/>
            </a:ext>
          </a:extLst>
        </xdr:cNvPr>
        <xdr:cNvSpPr txBox="1"/>
      </xdr:nvSpPr>
      <xdr:spPr>
        <a:xfrm>
          <a:off x="8126112" y="2572929"/>
          <a:ext cx="2081310" cy="394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a:solidFill>
                <a:srgbClr val="A40000"/>
              </a:solidFill>
              <a:latin typeface="Lato Black" panose="020F0502020204030203" pitchFamily="34" charset="0"/>
              <a:ea typeface="Lato Black" panose="020F0502020204030203" pitchFamily="34" charset="0"/>
              <a:cs typeface="Lato Black" panose="020F0502020204030203" pitchFamily="34" charset="0"/>
            </a:rPr>
            <a:t>ACTIVE EMPLOYEES</a:t>
          </a:r>
        </a:p>
      </xdr:txBody>
    </xdr:sp>
    <xdr:clientData/>
  </xdr:twoCellAnchor>
  <xdr:twoCellAnchor>
    <xdr:from>
      <xdr:col>12</xdr:col>
      <xdr:colOff>540463</xdr:colOff>
      <xdr:row>15</xdr:row>
      <xdr:rowOff>20233</xdr:rowOff>
    </xdr:from>
    <xdr:to>
      <xdr:col>15</xdr:col>
      <xdr:colOff>385480</xdr:colOff>
      <xdr:row>17</xdr:row>
      <xdr:rowOff>110639</xdr:rowOff>
    </xdr:to>
    <xdr:sp macro="" textlink="KPI!D8">
      <xdr:nvSpPr>
        <xdr:cNvPr id="202" name="TextBox 201">
          <a:extLst>
            <a:ext uri="{FF2B5EF4-FFF2-40B4-BE49-F238E27FC236}">
              <a16:creationId xmlns:a16="http://schemas.microsoft.com/office/drawing/2014/main" id="{620FD8C2-CFDF-493F-9F66-E0F16592D65B}"/>
            </a:ext>
          </a:extLst>
        </xdr:cNvPr>
        <xdr:cNvSpPr txBox="1"/>
      </xdr:nvSpPr>
      <xdr:spPr>
        <a:xfrm>
          <a:off x="8444599" y="2926165"/>
          <a:ext cx="1821050" cy="477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796C10-9957-4207-8A41-F98E6DD89B32}"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288031</xdr:colOff>
      <xdr:row>13</xdr:row>
      <xdr:rowOff>51260</xdr:rowOff>
    </xdr:from>
    <xdr:to>
      <xdr:col>19</xdr:col>
      <xdr:colOff>391378</xdr:colOff>
      <xdr:row>15</xdr:row>
      <xdr:rowOff>59479</xdr:rowOff>
    </xdr:to>
    <xdr:sp macro="" textlink="">
      <xdr:nvSpPr>
        <xdr:cNvPr id="203" name="TextBox 202">
          <a:extLst>
            <a:ext uri="{FF2B5EF4-FFF2-40B4-BE49-F238E27FC236}">
              <a16:creationId xmlns:a16="http://schemas.microsoft.com/office/drawing/2014/main" id="{4222E99B-757E-4674-972C-17F742B87C27}"/>
            </a:ext>
          </a:extLst>
        </xdr:cNvPr>
        <xdr:cNvSpPr txBox="1"/>
      </xdr:nvSpPr>
      <xdr:spPr>
        <a:xfrm>
          <a:off x="10842300" y="2564723"/>
          <a:ext cx="2082272" cy="394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a:solidFill>
                <a:srgbClr val="A40000"/>
              </a:solidFill>
              <a:latin typeface="Lato Black" panose="020F0502020204030203" pitchFamily="34" charset="0"/>
              <a:ea typeface="Lato Black" panose="020F0502020204030203" pitchFamily="34" charset="0"/>
              <a:cs typeface="Lato Black" panose="020F0502020204030203" pitchFamily="34" charset="0"/>
            </a:rPr>
            <a:t>ATTRITION RATE</a:t>
          </a:r>
          <a:endParaRPr lang="en-US" sz="1400">
            <a:solidFill>
              <a:srgbClr val="A4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654118</xdr:colOff>
      <xdr:row>15</xdr:row>
      <xdr:rowOff>17650</xdr:rowOff>
    </xdr:from>
    <xdr:to>
      <xdr:col>19</xdr:col>
      <xdr:colOff>499134</xdr:colOff>
      <xdr:row>17</xdr:row>
      <xdr:rowOff>108056</xdr:rowOff>
    </xdr:to>
    <xdr:sp macro="" textlink="KPI!E8">
      <xdr:nvSpPr>
        <xdr:cNvPr id="204" name="TextBox 203">
          <a:extLst>
            <a:ext uri="{FF2B5EF4-FFF2-40B4-BE49-F238E27FC236}">
              <a16:creationId xmlns:a16="http://schemas.microsoft.com/office/drawing/2014/main" id="{374B3E05-8A08-41ED-859D-403BB71272AB}"/>
            </a:ext>
          </a:extLst>
        </xdr:cNvPr>
        <xdr:cNvSpPr txBox="1"/>
      </xdr:nvSpPr>
      <xdr:spPr>
        <a:xfrm>
          <a:off x="11192965" y="2923582"/>
          <a:ext cx="1821050" cy="477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208FD2-693E-4D40-8C52-39454F18671C}"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16%</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20</xdr:col>
      <xdr:colOff>648231</xdr:colOff>
      <xdr:row>13</xdr:row>
      <xdr:rowOff>84338</xdr:rowOff>
    </xdr:from>
    <xdr:to>
      <xdr:col>24</xdr:col>
      <xdr:colOff>90972</xdr:colOff>
      <xdr:row>15</xdr:row>
      <xdr:rowOff>92557</xdr:rowOff>
    </xdr:to>
    <xdr:sp macro="" textlink="">
      <xdr:nvSpPr>
        <xdr:cNvPr id="205" name="TextBox 204">
          <a:extLst>
            <a:ext uri="{FF2B5EF4-FFF2-40B4-BE49-F238E27FC236}">
              <a16:creationId xmlns:a16="http://schemas.microsoft.com/office/drawing/2014/main" id="{C3062F3B-FD6B-48D2-BC92-DE59482D2C2A}"/>
            </a:ext>
          </a:extLst>
        </xdr:cNvPr>
        <xdr:cNvSpPr txBox="1"/>
      </xdr:nvSpPr>
      <xdr:spPr>
        <a:xfrm>
          <a:off x="13841067" y="2597801"/>
          <a:ext cx="2081308" cy="394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a:solidFill>
                <a:srgbClr val="A40000"/>
              </a:solidFill>
              <a:latin typeface="Lato Black" panose="020F0502020204030203" pitchFamily="34" charset="0"/>
              <a:ea typeface="Lato Black" panose="020F0502020204030203" pitchFamily="34" charset="0"/>
              <a:cs typeface="Lato Black" panose="020F0502020204030203" pitchFamily="34" charset="0"/>
            </a:rPr>
            <a:t>AVERAGE</a:t>
          </a:r>
          <a:r>
            <a:rPr lang="en-US" sz="1500" baseline="0">
              <a:solidFill>
                <a:srgbClr val="A40000"/>
              </a:solidFill>
              <a:latin typeface="Lato Black" panose="020F0502020204030203" pitchFamily="34" charset="0"/>
              <a:ea typeface="Lato Black" panose="020F0502020204030203" pitchFamily="34" charset="0"/>
              <a:cs typeface="Lato Black" panose="020F0502020204030203" pitchFamily="34" charset="0"/>
            </a:rPr>
            <a:t> AGE</a:t>
          </a:r>
          <a:endParaRPr lang="en-US" sz="1500">
            <a:solidFill>
              <a:srgbClr val="A4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70348</xdr:colOff>
      <xdr:row>15</xdr:row>
      <xdr:rowOff>27982</xdr:rowOff>
    </xdr:from>
    <xdr:to>
      <xdr:col>23</xdr:col>
      <xdr:colOff>574042</xdr:colOff>
      <xdr:row>17</xdr:row>
      <xdr:rowOff>118388</xdr:rowOff>
    </xdr:to>
    <xdr:sp macro="" textlink="KPI!C8">
      <xdr:nvSpPr>
        <xdr:cNvPr id="206" name="TextBox 205">
          <a:extLst>
            <a:ext uri="{FF2B5EF4-FFF2-40B4-BE49-F238E27FC236}">
              <a16:creationId xmlns:a16="http://schemas.microsoft.com/office/drawing/2014/main" id="{8057B6E1-D1CB-4B2D-A071-3D1C3EAE0DC2}"/>
            </a:ext>
          </a:extLst>
        </xdr:cNvPr>
        <xdr:cNvSpPr txBox="1"/>
      </xdr:nvSpPr>
      <xdr:spPr>
        <a:xfrm>
          <a:off x="13902585" y="2933914"/>
          <a:ext cx="1821050" cy="477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C8AD36-6603-48B5-8768-5186C69593DF}"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7</xdr:col>
      <xdr:colOff>142067</xdr:colOff>
      <xdr:row>13</xdr:row>
      <xdr:rowOff>51662</xdr:rowOff>
    </xdr:from>
    <xdr:ext cx="333375" cy="314325"/>
    <xdr:pic>
      <xdr:nvPicPr>
        <xdr:cNvPr id="207" name="image4.png">
          <a:extLst>
            <a:ext uri="{FF2B5EF4-FFF2-40B4-BE49-F238E27FC236}">
              <a16:creationId xmlns:a16="http://schemas.microsoft.com/office/drawing/2014/main" id="{0E59CF05-B75C-4BD8-8C82-49BC377E3F02}"/>
            </a:ext>
          </a:extLst>
        </xdr:cNvPr>
        <xdr:cNvPicPr preferRelativeResize="0"/>
      </xdr:nvPicPr>
      <xdr:blipFill>
        <a:blip xmlns:r="http://schemas.openxmlformats.org/officeDocument/2006/relationships" r:embed="rId1" cstate="print"/>
        <a:stretch>
          <a:fillRect/>
        </a:stretch>
      </xdr:blipFill>
      <xdr:spPr>
        <a:xfrm>
          <a:off x="4752813" y="2570137"/>
          <a:ext cx="333375" cy="314325"/>
        </a:xfrm>
        <a:prstGeom prst="rect">
          <a:avLst/>
        </a:prstGeom>
        <a:noFill/>
      </xdr:spPr>
    </xdr:pic>
    <xdr:clientData fLocksWithSheet="0"/>
  </xdr:oneCellAnchor>
  <xdr:oneCellAnchor>
    <xdr:from>
      <xdr:col>11</xdr:col>
      <xdr:colOff>167898</xdr:colOff>
      <xdr:row>13</xdr:row>
      <xdr:rowOff>35263</xdr:rowOff>
    </xdr:from>
    <xdr:ext cx="485775" cy="400050"/>
    <xdr:pic>
      <xdr:nvPicPr>
        <xdr:cNvPr id="208" name="image7.png">
          <a:extLst>
            <a:ext uri="{FF2B5EF4-FFF2-40B4-BE49-F238E27FC236}">
              <a16:creationId xmlns:a16="http://schemas.microsoft.com/office/drawing/2014/main" id="{30010757-6309-4839-BE8A-0D548DA76A5A}"/>
            </a:ext>
          </a:extLst>
        </xdr:cNvPr>
        <xdr:cNvPicPr preferRelativeResize="0"/>
      </xdr:nvPicPr>
      <xdr:blipFill>
        <a:blip xmlns:r="http://schemas.openxmlformats.org/officeDocument/2006/relationships" r:embed="rId2" cstate="print"/>
        <a:stretch>
          <a:fillRect/>
        </a:stretch>
      </xdr:blipFill>
      <xdr:spPr>
        <a:xfrm>
          <a:off x="7419741" y="2483937"/>
          <a:ext cx="485775" cy="400050"/>
        </a:xfrm>
        <a:prstGeom prst="rect">
          <a:avLst/>
        </a:prstGeom>
        <a:noFill/>
      </xdr:spPr>
    </xdr:pic>
    <xdr:clientData fLocksWithSheet="0"/>
  </xdr:oneCellAnchor>
  <xdr:oneCellAnchor>
    <xdr:from>
      <xdr:col>15</xdr:col>
      <xdr:colOff>234763</xdr:colOff>
      <xdr:row>13</xdr:row>
      <xdr:rowOff>39011</xdr:rowOff>
    </xdr:from>
    <xdr:ext cx="419100" cy="304800"/>
    <xdr:pic>
      <xdr:nvPicPr>
        <xdr:cNvPr id="209" name="image5.png">
          <a:extLst>
            <a:ext uri="{FF2B5EF4-FFF2-40B4-BE49-F238E27FC236}">
              <a16:creationId xmlns:a16="http://schemas.microsoft.com/office/drawing/2014/main" id="{7263494C-FBC6-420E-9B4C-CF9660E06CCD}"/>
            </a:ext>
          </a:extLst>
        </xdr:cNvPr>
        <xdr:cNvPicPr preferRelativeResize="0"/>
      </xdr:nvPicPr>
      <xdr:blipFill>
        <a:blip xmlns:r="http://schemas.openxmlformats.org/officeDocument/2006/relationships" r:embed="rId3" cstate="print"/>
        <a:stretch>
          <a:fillRect/>
        </a:stretch>
      </xdr:blipFill>
      <xdr:spPr>
        <a:xfrm>
          <a:off x="10129390" y="2552474"/>
          <a:ext cx="419100" cy="304800"/>
        </a:xfrm>
        <a:prstGeom prst="rect">
          <a:avLst/>
        </a:prstGeom>
        <a:noFill/>
      </xdr:spPr>
    </xdr:pic>
    <xdr:clientData fLocksWithSheet="0"/>
  </xdr:oneCellAnchor>
  <xdr:oneCellAnchor>
    <xdr:from>
      <xdr:col>19</xdr:col>
      <xdr:colOff>250209</xdr:colOff>
      <xdr:row>13</xdr:row>
      <xdr:rowOff>68239</xdr:rowOff>
    </xdr:from>
    <xdr:ext cx="390525" cy="314325"/>
    <xdr:pic>
      <xdr:nvPicPr>
        <xdr:cNvPr id="210" name="image2.png">
          <a:extLst>
            <a:ext uri="{FF2B5EF4-FFF2-40B4-BE49-F238E27FC236}">
              <a16:creationId xmlns:a16="http://schemas.microsoft.com/office/drawing/2014/main" id="{7CF13F9E-147B-4DA5-BD5A-899A08A8DD36}"/>
            </a:ext>
          </a:extLst>
        </xdr:cNvPr>
        <xdr:cNvPicPr preferRelativeResize="0"/>
      </xdr:nvPicPr>
      <xdr:blipFill>
        <a:blip xmlns:r="http://schemas.openxmlformats.org/officeDocument/2006/relationships" r:embed="rId4" cstate="print"/>
        <a:stretch>
          <a:fillRect/>
        </a:stretch>
      </xdr:blipFill>
      <xdr:spPr>
        <a:xfrm>
          <a:off x="12783403" y="2581702"/>
          <a:ext cx="390525" cy="314325"/>
        </a:xfrm>
        <a:prstGeom prst="rect">
          <a:avLst/>
        </a:prstGeom>
        <a:noFill/>
      </xdr:spPr>
    </xdr:pic>
    <xdr:clientData fLocksWithSheet="0"/>
  </xdr:oneCellAnchor>
  <xdr:oneCellAnchor>
    <xdr:from>
      <xdr:col>23</xdr:col>
      <xdr:colOff>227462</xdr:colOff>
      <xdr:row>13</xdr:row>
      <xdr:rowOff>90985</xdr:rowOff>
    </xdr:from>
    <xdr:ext cx="352567" cy="318448"/>
    <xdr:pic>
      <xdr:nvPicPr>
        <xdr:cNvPr id="211" name="image6.png">
          <a:extLst>
            <a:ext uri="{FF2B5EF4-FFF2-40B4-BE49-F238E27FC236}">
              <a16:creationId xmlns:a16="http://schemas.microsoft.com/office/drawing/2014/main" id="{7A3317DB-C841-490C-BFCA-C546B664D8F7}"/>
            </a:ext>
          </a:extLst>
        </xdr:cNvPr>
        <xdr:cNvPicPr preferRelativeResize="0"/>
      </xdr:nvPicPr>
      <xdr:blipFill>
        <a:blip xmlns:r="http://schemas.openxmlformats.org/officeDocument/2006/relationships" r:embed="rId5" cstate="print"/>
        <a:stretch>
          <a:fillRect/>
        </a:stretch>
      </xdr:blipFill>
      <xdr:spPr>
        <a:xfrm>
          <a:off x="15399223" y="2604448"/>
          <a:ext cx="352567" cy="318448"/>
        </a:xfrm>
        <a:prstGeom prst="rect">
          <a:avLst/>
        </a:prstGeom>
        <a:noFill/>
      </xdr:spPr>
    </xdr:pic>
    <xdr:clientData fLocksWithSheet="0"/>
  </xdr:oneCellAnchor>
  <xdr:oneCellAnchor>
    <xdr:from>
      <xdr:col>4</xdr:col>
      <xdr:colOff>122465</xdr:colOff>
      <xdr:row>8</xdr:row>
      <xdr:rowOff>95250</xdr:rowOff>
    </xdr:from>
    <xdr:ext cx="542925" cy="523875"/>
    <xdr:pic>
      <xdr:nvPicPr>
        <xdr:cNvPr id="213" name="image1.png">
          <a:extLst>
            <a:ext uri="{FF2B5EF4-FFF2-40B4-BE49-F238E27FC236}">
              <a16:creationId xmlns:a16="http://schemas.microsoft.com/office/drawing/2014/main" id="{E4217037-09D7-4FF7-97D6-811120C12028}"/>
            </a:ext>
          </a:extLst>
        </xdr:cNvPr>
        <xdr:cNvPicPr preferRelativeResize="0"/>
      </xdr:nvPicPr>
      <xdr:blipFill>
        <a:blip xmlns:r="http://schemas.openxmlformats.org/officeDocument/2006/relationships" r:embed="rId6" cstate="print"/>
        <a:stretch>
          <a:fillRect/>
        </a:stretch>
      </xdr:blipFill>
      <xdr:spPr>
        <a:xfrm>
          <a:off x="2735036" y="1619250"/>
          <a:ext cx="542925" cy="523875"/>
        </a:xfrm>
        <a:prstGeom prst="rect">
          <a:avLst/>
        </a:prstGeom>
        <a:noFill/>
      </xdr:spPr>
    </xdr:pic>
    <xdr:clientData fLocksWithSheet="0"/>
  </xdr:oneCellAnchor>
  <xdr:twoCellAnchor>
    <xdr:from>
      <xdr:col>5</xdr:col>
      <xdr:colOff>190499</xdr:colOff>
      <xdr:row>8</xdr:row>
      <xdr:rowOff>0</xdr:rowOff>
    </xdr:from>
    <xdr:to>
      <xdr:col>15</xdr:col>
      <xdr:colOff>598713</xdr:colOff>
      <xdr:row>11</xdr:row>
      <xdr:rowOff>13607</xdr:rowOff>
    </xdr:to>
    <xdr:sp macro="" textlink="">
      <xdr:nvSpPr>
        <xdr:cNvPr id="214" name="TextBox 213">
          <a:extLst>
            <a:ext uri="{FF2B5EF4-FFF2-40B4-BE49-F238E27FC236}">
              <a16:creationId xmlns:a16="http://schemas.microsoft.com/office/drawing/2014/main" id="{E33AA680-3E79-D895-08F5-43D3A817FA69}"/>
            </a:ext>
          </a:extLst>
        </xdr:cNvPr>
        <xdr:cNvSpPr txBox="1"/>
      </xdr:nvSpPr>
      <xdr:spPr>
        <a:xfrm>
          <a:off x="3456213" y="1524000"/>
          <a:ext cx="6939643" cy="585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800">
              <a:solidFill>
                <a:schemeClr val="accent1">
                  <a:lumMod val="75000"/>
                </a:schemeClr>
              </a:solidFill>
              <a:latin typeface="Lato Black" panose="020F0502020204030203" pitchFamily="34" charset="0"/>
              <a:ea typeface="Lato Black" panose="020F0502020204030203" pitchFamily="34" charset="0"/>
              <a:cs typeface="Lato Black" panose="020F0502020204030203" pitchFamily="34" charset="0"/>
            </a:rPr>
            <a:t>HR ANALYTICS DASHBOARD</a:t>
          </a:r>
        </a:p>
      </xdr:txBody>
    </xdr:sp>
    <xdr:clientData/>
  </xdr:twoCellAnchor>
  <xdr:oneCellAnchor>
    <xdr:from>
      <xdr:col>16</xdr:col>
      <xdr:colOff>326571</xdr:colOff>
      <xdr:row>8</xdr:row>
      <xdr:rowOff>27215</xdr:rowOff>
    </xdr:from>
    <xdr:ext cx="723900" cy="628650"/>
    <xdr:pic>
      <xdr:nvPicPr>
        <xdr:cNvPr id="215" name="image3.png">
          <a:extLst>
            <a:ext uri="{FF2B5EF4-FFF2-40B4-BE49-F238E27FC236}">
              <a16:creationId xmlns:a16="http://schemas.microsoft.com/office/drawing/2014/main" id="{C9B21935-0AD4-4996-928E-B5CA9085CF61}"/>
            </a:ext>
          </a:extLst>
        </xdr:cNvPr>
        <xdr:cNvPicPr preferRelativeResize="0"/>
      </xdr:nvPicPr>
      <xdr:blipFill>
        <a:blip xmlns:r="http://schemas.openxmlformats.org/officeDocument/2006/relationships" r:embed="rId7" cstate="print"/>
        <a:stretch>
          <a:fillRect/>
        </a:stretch>
      </xdr:blipFill>
      <xdr:spPr>
        <a:xfrm>
          <a:off x="10776857" y="1551215"/>
          <a:ext cx="723900" cy="628650"/>
        </a:xfrm>
        <a:prstGeom prst="rect">
          <a:avLst/>
        </a:prstGeom>
        <a:noFill/>
      </xdr:spPr>
    </xdr:pic>
    <xdr:clientData fLocksWithSheet="0"/>
  </xdr:oneCellAnchor>
  <xdr:twoCellAnchor>
    <xdr:from>
      <xdr:col>17</xdr:col>
      <xdr:colOff>476250</xdr:colOff>
      <xdr:row>6</xdr:row>
      <xdr:rowOff>136071</xdr:rowOff>
    </xdr:from>
    <xdr:to>
      <xdr:col>20</xdr:col>
      <xdr:colOff>312965</xdr:colOff>
      <xdr:row>12</xdr:row>
      <xdr:rowOff>176892</xdr:rowOff>
    </xdr:to>
    <xdr:sp macro="" textlink="">
      <xdr:nvSpPr>
        <xdr:cNvPr id="216" name="TextBox 215">
          <a:extLst>
            <a:ext uri="{FF2B5EF4-FFF2-40B4-BE49-F238E27FC236}">
              <a16:creationId xmlns:a16="http://schemas.microsoft.com/office/drawing/2014/main" id="{9F6D2DA6-E988-D5D9-BB0E-6CCAB2FBE6B2}"/>
            </a:ext>
          </a:extLst>
        </xdr:cNvPr>
        <xdr:cNvSpPr txBox="1"/>
      </xdr:nvSpPr>
      <xdr:spPr>
        <a:xfrm>
          <a:off x="11579679" y="1279071"/>
          <a:ext cx="1796143" cy="1183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A40000"/>
              </a:solidFill>
              <a:latin typeface="Lato Black" panose="020F0502020204030203" pitchFamily="34" charset="0"/>
              <a:ea typeface="Lato Black" panose="020F0502020204030203" pitchFamily="34" charset="0"/>
              <a:cs typeface="Lato Black" panose="020F0502020204030203" pitchFamily="34" charset="0"/>
            </a:rPr>
            <a:t>JOB</a:t>
          </a:r>
        </a:p>
        <a:p>
          <a:pPr algn="ctr"/>
          <a:r>
            <a:rPr lang="en-US" sz="1600">
              <a:solidFill>
                <a:srgbClr val="A40000"/>
              </a:solidFill>
              <a:latin typeface="Lato Black" panose="020F0502020204030203" pitchFamily="34" charset="0"/>
              <a:ea typeface="Lato Black" panose="020F0502020204030203" pitchFamily="34" charset="0"/>
              <a:cs typeface="Lato Black" panose="020F0502020204030203" pitchFamily="34" charset="0"/>
            </a:rPr>
            <a:t>SATISFACTION</a:t>
          </a:r>
          <a:r>
            <a:rPr lang="en-US" sz="1600" baseline="0">
              <a:solidFill>
                <a:srgbClr val="A40000"/>
              </a:solidFill>
              <a:latin typeface="Lato Black" panose="020F0502020204030203" pitchFamily="34" charset="0"/>
              <a:ea typeface="Lato Black" panose="020F0502020204030203" pitchFamily="34" charset="0"/>
              <a:cs typeface="Lato Black" panose="020F0502020204030203" pitchFamily="34" charset="0"/>
            </a:rPr>
            <a:t> </a:t>
          </a:r>
        </a:p>
        <a:p>
          <a:pPr algn="ctr"/>
          <a:r>
            <a:rPr lang="en-US" sz="1600" baseline="0">
              <a:solidFill>
                <a:srgbClr val="A40000"/>
              </a:solidFill>
              <a:latin typeface="Lato Black" panose="020F0502020204030203" pitchFamily="34" charset="0"/>
              <a:ea typeface="Lato Black" panose="020F0502020204030203" pitchFamily="34" charset="0"/>
              <a:cs typeface="Lato Black" panose="020F0502020204030203" pitchFamily="34" charset="0"/>
            </a:rPr>
            <a:t>RATING</a:t>
          </a:r>
          <a:endParaRPr lang="en-US" sz="1600">
            <a:solidFill>
              <a:srgbClr val="A4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20</xdr:col>
      <xdr:colOff>66759</xdr:colOff>
      <xdr:row>7</xdr:row>
      <xdr:rowOff>25400</xdr:rowOff>
    </xdr:from>
    <xdr:to>
      <xdr:col>21</xdr:col>
      <xdr:colOff>393700</xdr:colOff>
      <xdr:row>12</xdr:row>
      <xdr:rowOff>177800</xdr:rowOff>
    </xdr:to>
    <xdr:graphicFrame macro="">
      <xdr:nvGraphicFramePr>
        <xdr:cNvPr id="219" name="Chart 218">
          <a:extLst>
            <a:ext uri="{FF2B5EF4-FFF2-40B4-BE49-F238E27FC236}">
              <a16:creationId xmlns:a16="http://schemas.microsoft.com/office/drawing/2014/main" id="{C2D2357B-F3A5-4619-81EE-549D56E28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201707</xdr:colOff>
      <xdr:row>9</xdr:row>
      <xdr:rowOff>11206</xdr:rowOff>
    </xdr:from>
    <xdr:to>
      <xdr:col>21</xdr:col>
      <xdr:colOff>201706</xdr:colOff>
      <xdr:row>11</xdr:row>
      <xdr:rowOff>56030</xdr:rowOff>
    </xdr:to>
    <xdr:sp macro="" textlink="Rating!$B$7">
      <xdr:nvSpPr>
        <xdr:cNvPr id="220" name="TextBox 219">
          <a:extLst>
            <a:ext uri="{FF2B5EF4-FFF2-40B4-BE49-F238E27FC236}">
              <a16:creationId xmlns:a16="http://schemas.microsoft.com/office/drawing/2014/main" id="{3904C8CB-6142-576B-25F2-B4BC2A0BC364}"/>
            </a:ext>
          </a:extLst>
        </xdr:cNvPr>
        <xdr:cNvSpPr txBox="1"/>
      </xdr:nvSpPr>
      <xdr:spPr>
        <a:xfrm>
          <a:off x="13200531" y="1725706"/>
          <a:ext cx="649940" cy="425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652DEB-D196-4F92-AE9E-032207C66D60}" type="TxLink">
            <a:rPr lang="en-US" sz="14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US" sz="14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206644</xdr:colOff>
      <xdr:row>8</xdr:row>
      <xdr:rowOff>12914</xdr:rowOff>
    </xdr:from>
    <xdr:to>
      <xdr:col>24</xdr:col>
      <xdr:colOff>389283</xdr:colOff>
      <xdr:row>11</xdr:row>
      <xdr:rowOff>82826</xdr:rowOff>
    </xdr:to>
    <xdr:graphicFrame macro="">
      <xdr:nvGraphicFramePr>
        <xdr:cNvPr id="222" name="Chart 221">
          <a:extLst>
            <a:ext uri="{FF2B5EF4-FFF2-40B4-BE49-F238E27FC236}">
              <a16:creationId xmlns:a16="http://schemas.microsoft.com/office/drawing/2014/main" id="{241FFFD0-4F70-4F29-ACD4-645EBF595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324380</xdr:colOff>
      <xdr:row>8</xdr:row>
      <xdr:rowOff>152358</xdr:rowOff>
    </xdr:from>
    <xdr:to>
      <xdr:col>24</xdr:col>
      <xdr:colOff>426743</xdr:colOff>
      <xdr:row>10</xdr:row>
      <xdr:rowOff>190499</xdr:rowOff>
    </xdr:to>
    <xdr:sp macro="" textlink="">
      <xdr:nvSpPr>
        <xdr:cNvPr id="223" name="Freeform: Shape 222">
          <a:extLst>
            <a:ext uri="{FF2B5EF4-FFF2-40B4-BE49-F238E27FC236}">
              <a16:creationId xmlns:a16="http://schemas.microsoft.com/office/drawing/2014/main" id="{4519A2E1-19A6-2B9D-8E4E-8BB3A0D4CD6F}"/>
            </a:ext>
          </a:extLst>
        </xdr:cNvPr>
        <xdr:cNvSpPr/>
      </xdr:nvSpPr>
      <xdr:spPr>
        <a:xfrm>
          <a:off x="14053369" y="1676358"/>
          <a:ext cx="2063647" cy="419141"/>
        </a:xfrm>
        <a:custGeom>
          <a:avLst/>
          <a:gdLst>
            <a:gd name="csX0" fmla="*/ 1991360 w 2499360"/>
            <a:gd name="csY0" fmla="*/ 106680 h 619760"/>
            <a:gd name="csX1" fmla="*/ 1933199 w 2499360"/>
            <a:gd name="csY1" fmla="*/ 261912 h 619760"/>
            <a:gd name="csX2" fmla="*/ 1744981 w 2499360"/>
            <a:gd name="csY2" fmla="*/ 261911 h 619760"/>
            <a:gd name="csX3" fmla="*/ 1897253 w 2499360"/>
            <a:gd name="csY3" fmla="*/ 357848 h 619760"/>
            <a:gd name="csX4" fmla="*/ 1839089 w 2499360"/>
            <a:gd name="csY4" fmla="*/ 513079 h 619760"/>
            <a:gd name="csX5" fmla="*/ 1991360 w 2499360"/>
            <a:gd name="csY5" fmla="*/ 417140 h 619760"/>
            <a:gd name="csX6" fmla="*/ 2143631 w 2499360"/>
            <a:gd name="csY6" fmla="*/ 513079 h 619760"/>
            <a:gd name="csX7" fmla="*/ 2085467 w 2499360"/>
            <a:gd name="csY7" fmla="*/ 357848 h 619760"/>
            <a:gd name="csX8" fmla="*/ 2237739 w 2499360"/>
            <a:gd name="csY8" fmla="*/ 261911 h 619760"/>
            <a:gd name="csX9" fmla="*/ 2049521 w 2499360"/>
            <a:gd name="csY9" fmla="*/ 261912 h 619760"/>
            <a:gd name="csX10" fmla="*/ 1452880 w 2499360"/>
            <a:gd name="csY10" fmla="*/ 106680 h 619760"/>
            <a:gd name="csX11" fmla="*/ 1394719 w 2499360"/>
            <a:gd name="csY11" fmla="*/ 261912 h 619760"/>
            <a:gd name="csX12" fmla="*/ 1206501 w 2499360"/>
            <a:gd name="csY12" fmla="*/ 261911 h 619760"/>
            <a:gd name="csX13" fmla="*/ 1358773 w 2499360"/>
            <a:gd name="csY13" fmla="*/ 357848 h 619760"/>
            <a:gd name="csX14" fmla="*/ 1300609 w 2499360"/>
            <a:gd name="csY14" fmla="*/ 513079 h 619760"/>
            <a:gd name="csX15" fmla="*/ 1452880 w 2499360"/>
            <a:gd name="csY15" fmla="*/ 417140 h 619760"/>
            <a:gd name="csX16" fmla="*/ 1605151 w 2499360"/>
            <a:gd name="csY16" fmla="*/ 513079 h 619760"/>
            <a:gd name="csX17" fmla="*/ 1546987 w 2499360"/>
            <a:gd name="csY17" fmla="*/ 357848 h 619760"/>
            <a:gd name="csX18" fmla="*/ 1699259 w 2499360"/>
            <a:gd name="csY18" fmla="*/ 261911 h 619760"/>
            <a:gd name="csX19" fmla="*/ 1511041 w 2499360"/>
            <a:gd name="csY19" fmla="*/ 261912 h 619760"/>
            <a:gd name="csX20" fmla="*/ 914400 w 2499360"/>
            <a:gd name="csY20" fmla="*/ 106680 h 619760"/>
            <a:gd name="csX21" fmla="*/ 856239 w 2499360"/>
            <a:gd name="csY21" fmla="*/ 261912 h 619760"/>
            <a:gd name="csX22" fmla="*/ 668021 w 2499360"/>
            <a:gd name="csY22" fmla="*/ 261911 h 619760"/>
            <a:gd name="csX23" fmla="*/ 820293 w 2499360"/>
            <a:gd name="csY23" fmla="*/ 357848 h 619760"/>
            <a:gd name="csX24" fmla="*/ 762129 w 2499360"/>
            <a:gd name="csY24" fmla="*/ 513079 h 619760"/>
            <a:gd name="csX25" fmla="*/ 914400 w 2499360"/>
            <a:gd name="csY25" fmla="*/ 417140 h 619760"/>
            <a:gd name="csX26" fmla="*/ 1066671 w 2499360"/>
            <a:gd name="csY26" fmla="*/ 513079 h 619760"/>
            <a:gd name="csX27" fmla="*/ 1008507 w 2499360"/>
            <a:gd name="csY27" fmla="*/ 357848 h 619760"/>
            <a:gd name="csX28" fmla="*/ 1160779 w 2499360"/>
            <a:gd name="csY28" fmla="*/ 261911 h 619760"/>
            <a:gd name="csX29" fmla="*/ 972561 w 2499360"/>
            <a:gd name="csY29" fmla="*/ 261912 h 619760"/>
            <a:gd name="csX30" fmla="*/ 347980 w 2499360"/>
            <a:gd name="csY30" fmla="*/ 106680 h 619760"/>
            <a:gd name="csX31" fmla="*/ 289819 w 2499360"/>
            <a:gd name="csY31" fmla="*/ 261912 h 619760"/>
            <a:gd name="csX32" fmla="*/ 101601 w 2499360"/>
            <a:gd name="csY32" fmla="*/ 261911 h 619760"/>
            <a:gd name="csX33" fmla="*/ 253873 w 2499360"/>
            <a:gd name="csY33" fmla="*/ 357848 h 619760"/>
            <a:gd name="csX34" fmla="*/ 195709 w 2499360"/>
            <a:gd name="csY34" fmla="*/ 513079 h 619760"/>
            <a:gd name="csX35" fmla="*/ 347980 w 2499360"/>
            <a:gd name="csY35" fmla="*/ 417140 h 619760"/>
            <a:gd name="csX36" fmla="*/ 500251 w 2499360"/>
            <a:gd name="csY36" fmla="*/ 513079 h 619760"/>
            <a:gd name="csX37" fmla="*/ 442087 w 2499360"/>
            <a:gd name="csY37" fmla="*/ 357848 h 619760"/>
            <a:gd name="csX38" fmla="*/ 594359 w 2499360"/>
            <a:gd name="csY38" fmla="*/ 261911 h 619760"/>
            <a:gd name="csX39" fmla="*/ 406141 w 2499360"/>
            <a:gd name="csY39" fmla="*/ 261912 h 619760"/>
            <a:gd name="csX40" fmla="*/ 0 w 2499360"/>
            <a:gd name="csY40" fmla="*/ 0 h 619760"/>
            <a:gd name="csX41" fmla="*/ 2499360 w 2499360"/>
            <a:gd name="csY41" fmla="*/ 0 h 619760"/>
            <a:gd name="csX42" fmla="*/ 2499360 w 2499360"/>
            <a:gd name="csY42" fmla="*/ 619760 h 619760"/>
            <a:gd name="csX43" fmla="*/ 0 w 2499360"/>
            <a:gd name="csY43" fmla="*/ 619760 h 6197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499360" h="619760">
              <a:moveTo>
                <a:pt x="1991360" y="106680"/>
              </a:moveTo>
              <a:lnTo>
                <a:pt x="1933199" y="261912"/>
              </a:lnTo>
              <a:lnTo>
                <a:pt x="1744981" y="261911"/>
              </a:lnTo>
              <a:lnTo>
                <a:pt x="1897253" y="357848"/>
              </a:lnTo>
              <a:lnTo>
                <a:pt x="1839089" y="513079"/>
              </a:lnTo>
              <a:lnTo>
                <a:pt x="1991360" y="417140"/>
              </a:lnTo>
              <a:lnTo>
                <a:pt x="2143631" y="513079"/>
              </a:lnTo>
              <a:lnTo>
                <a:pt x="2085467" y="357848"/>
              </a:lnTo>
              <a:lnTo>
                <a:pt x="2237739" y="261911"/>
              </a:lnTo>
              <a:lnTo>
                <a:pt x="2049521" y="261912"/>
              </a:lnTo>
              <a:close/>
              <a:moveTo>
                <a:pt x="1452880" y="106680"/>
              </a:moveTo>
              <a:lnTo>
                <a:pt x="1394719" y="261912"/>
              </a:lnTo>
              <a:lnTo>
                <a:pt x="1206501" y="261911"/>
              </a:lnTo>
              <a:lnTo>
                <a:pt x="1358773" y="357848"/>
              </a:lnTo>
              <a:lnTo>
                <a:pt x="1300609" y="513079"/>
              </a:lnTo>
              <a:lnTo>
                <a:pt x="1452880" y="417140"/>
              </a:lnTo>
              <a:lnTo>
                <a:pt x="1605151" y="513079"/>
              </a:lnTo>
              <a:lnTo>
                <a:pt x="1546987" y="357848"/>
              </a:lnTo>
              <a:lnTo>
                <a:pt x="1699259" y="261911"/>
              </a:lnTo>
              <a:lnTo>
                <a:pt x="1511041" y="261912"/>
              </a:lnTo>
              <a:close/>
              <a:moveTo>
                <a:pt x="914400" y="106680"/>
              </a:moveTo>
              <a:lnTo>
                <a:pt x="856239" y="261912"/>
              </a:lnTo>
              <a:lnTo>
                <a:pt x="668021" y="261911"/>
              </a:lnTo>
              <a:lnTo>
                <a:pt x="820293" y="357848"/>
              </a:lnTo>
              <a:lnTo>
                <a:pt x="762129" y="513079"/>
              </a:lnTo>
              <a:lnTo>
                <a:pt x="914400" y="417140"/>
              </a:lnTo>
              <a:lnTo>
                <a:pt x="1066671" y="513079"/>
              </a:lnTo>
              <a:lnTo>
                <a:pt x="1008507" y="357848"/>
              </a:lnTo>
              <a:lnTo>
                <a:pt x="1160779" y="261911"/>
              </a:lnTo>
              <a:lnTo>
                <a:pt x="972561" y="261912"/>
              </a:lnTo>
              <a:close/>
              <a:moveTo>
                <a:pt x="347980" y="106680"/>
              </a:moveTo>
              <a:lnTo>
                <a:pt x="289819" y="261912"/>
              </a:lnTo>
              <a:lnTo>
                <a:pt x="101601" y="261911"/>
              </a:lnTo>
              <a:lnTo>
                <a:pt x="253873" y="357848"/>
              </a:lnTo>
              <a:lnTo>
                <a:pt x="195709" y="513079"/>
              </a:lnTo>
              <a:lnTo>
                <a:pt x="347980" y="417140"/>
              </a:lnTo>
              <a:lnTo>
                <a:pt x="500251" y="513079"/>
              </a:lnTo>
              <a:lnTo>
                <a:pt x="442087" y="357848"/>
              </a:lnTo>
              <a:lnTo>
                <a:pt x="594359" y="261911"/>
              </a:lnTo>
              <a:lnTo>
                <a:pt x="406141" y="261912"/>
              </a:lnTo>
              <a:close/>
              <a:moveTo>
                <a:pt x="0" y="0"/>
              </a:moveTo>
              <a:lnTo>
                <a:pt x="2499360" y="0"/>
              </a:lnTo>
              <a:lnTo>
                <a:pt x="2499360" y="619760"/>
              </a:lnTo>
              <a:lnTo>
                <a:pt x="0" y="619760"/>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4</xdr:col>
      <xdr:colOff>30553</xdr:colOff>
      <xdr:row>25</xdr:row>
      <xdr:rowOff>92933</xdr:rowOff>
    </xdr:from>
    <xdr:to>
      <xdr:col>6</xdr:col>
      <xdr:colOff>81935</xdr:colOff>
      <xdr:row>32</xdr:row>
      <xdr:rowOff>139613</xdr:rowOff>
    </xdr:to>
    <xdr:graphicFrame macro="">
      <xdr:nvGraphicFramePr>
        <xdr:cNvPr id="224" name="Chart 223">
          <a:extLst>
            <a:ext uri="{FF2B5EF4-FFF2-40B4-BE49-F238E27FC236}">
              <a16:creationId xmlns:a16="http://schemas.microsoft.com/office/drawing/2014/main" id="{19D5691D-017D-4812-8612-0F1D279C2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589103</xdr:colOff>
      <xdr:row>25</xdr:row>
      <xdr:rowOff>94625</xdr:rowOff>
    </xdr:from>
    <xdr:to>
      <xdr:col>9</xdr:col>
      <xdr:colOff>640591</xdr:colOff>
      <xdr:row>32</xdr:row>
      <xdr:rowOff>137920</xdr:rowOff>
    </xdr:to>
    <xdr:graphicFrame macro="">
      <xdr:nvGraphicFramePr>
        <xdr:cNvPr id="225" name="Chart 224">
          <a:extLst>
            <a:ext uri="{FF2B5EF4-FFF2-40B4-BE49-F238E27FC236}">
              <a16:creationId xmlns:a16="http://schemas.microsoft.com/office/drawing/2014/main" id="{96467336-C6A2-46CD-AF4E-0FF78A5F1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6</xdr:col>
      <xdr:colOff>642389</xdr:colOff>
      <xdr:row>27</xdr:row>
      <xdr:rowOff>121920</xdr:rowOff>
    </xdr:from>
    <xdr:to>
      <xdr:col>8</xdr:col>
      <xdr:colOff>87096</xdr:colOff>
      <xdr:row>31</xdr:row>
      <xdr:rowOff>122480</xdr:rowOff>
    </xdr:to>
    <xdr:pic>
      <xdr:nvPicPr>
        <xdr:cNvPr id="231" name="Graphic 230" descr="Male profile with solid fill">
          <a:extLst>
            <a:ext uri="{FF2B5EF4-FFF2-40B4-BE49-F238E27FC236}">
              <a16:creationId xmlns:a16="http://schemas.microsoft.com/office/drawing/2014/main" id="{B762C849-3923-D71E-9C58-08D14490AA1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604789" y="5344160"/>
          <a:ext cx="765507" cy="772720"/>
        </a:xfrm>
        <a:prstGeom prst="rect">
          <a:avLst/>
        </a:prstGeom>
      </xdr:spPr>
    </xdr:pic>
    <xdr:clientData/>
  </xdr:twoCellAnchor>
  <xdr:twoCellAnchor editAs="oneCell">
    <xdr:from>
      <xdr:col>5</xdr:col>
      <xdr:colOff>652186</xdr:colOff>
      <xdr:row>27</xdr:row>
      <xdr:rowOff>153073</xdr:rowOff>
    </xdr:from>
    <xdr:to>
      <xdr:col>7</xdr:col>
      <xdr:colOff>62906</xdr:colOff>
      <xdr:row>31</xdr:row>
      <xdr:rowOff>125636</xdr:rowOff>
    </xdr:to>
    <xdr:pic>
      <xdr:nvPicPr>
        <xdr:cNvPr id="233" name="Graphic 232" descr="Female Profile with solid fill">
          <a:extLst>
            <a:ext uri="{FF2B5EF4-FFF2-40B4-BE49-F238E27FC236}">
              <a16:creationId xmlns:a16="http://schemas.microsoft.com/office/drawing/2014/main" id="{7CCD28DE-601C-4A0E-7C94-6BC268C4F7D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954186" y="5375313"/>
          <a:ext cx="731520" cy="744723"/>
        </a:xfrm>
        <a:prstGeom prst="rect">
          <a:avLst/>
        </a:prstGeom>
      </xdr:spPr>
    </xdr:pic>
    <xdr:clientData/>
  </xdr:twoCellAnchor>
  <xdr:twoCellAnchor>
    <xdr:from>
      <xdr:col>4</xdr:col>
      <xdr:colOff>362857</xdr:colOff>
      <xdr:row>28</xdr:row>
      <xdr:rowOff>36285</xdr:rowOff>
    </xdr:from>
    <xdr:to>
      <xdr:col>5</xdr:col>
      <xdr:colOff>374953</xdr:colOff>
      <xdr:row>30</xdr:row>
      <xdr:rowOff>0</xdr:rowOff>
    </xdr:to>
    <xdr:sp macro="" textlink="Gender!$B$10">
      <xdr:nvSpPr>
        <xdr:cNvPr id="236" name="TextBox 235">
          <a:extLst>
            <a:ext uri="{FF2B5EF4-FFF2-40B4-BE49-F238E27FC236}">
              <a16:creationId xmlns:a16="http://schemas.microsoft.com/office/drawing/2014/main" id="{FFBBF58C-4AC3-4C10-9A53-07E95956C727}"/>
            </a:ext>
          </a:extLst>
        </xdr:cNvPr>
        <xdr:cNvSpPr txBox="1"/>
      </xdr:nvSpPr>
      <xdr:spPr>
        <a:xfrm>
          <a:off x="2975428" y="5454952"/>
          <a:ext cx="665239" cy="350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2C6DD9-7422-4E8C-A793-58BBA283134A}" type="TxLink">
            <a:rPr lang="en-US" sz="1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588</a:t>
          </a:fld>
          <a:endParaRPr lang="en-US" sz="18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8</xdr:col>
      <xdr:colOff>278191</xdr:colOff>
      <xdr:row>28</xdr:row>
      <xdr:rowOff>24190</xdr:rowOff>
    </xdr:from>
    <xdr:to>
      <xdr:col>9</xdr:col>
      <xdr:colOff>290287</xdr:colOff>
      <xdr:row>29</xdr:row>
      <xdr:rowOff>181429</xdr:rowOff>
    </xdr:to>
    <xdr:sp macro="" textlink="Gender!$B$11">
      <xdr:nvSpPr>
        <xdr:cNvPr id="237" name="TextBox 236">
          <a:extLst>
            <a:ext uri="{FF2B5EF4-FFF2-40B4-BE49-F238E27FC236}">
              <a16:creationId xmlns:a16="http://schemas.microsoft.com/office/drawing/2014/main" id="{1934C0D1-40C8-455E-BA8C-1D1014DDBC28}"/>
            </a:ext>
          </a:extLst>
        </xdr:cNvPr>
        <xdr:cNvSpPr txBox="1"/>
      </xdr:nvSpPr>
      <xdr:spPr>
        <a:xfrm>
          <a:off x="5503334" y="5442857"/>
          <a:ext cx="665239" cy="3507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3B9FD3E-1B26-4F22-936F-9AD2192375CC}" type="TxLink">
            <a:rPr lang="en-US" sz="1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882</a:t>
          </a:fld>
          <a:endParaRPr lang="en-US" sz="28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5</xdr:col>
      <xdr:colOff>423334</xdr:colOff>
      <xdr:row>21</xdr:row>
      <xdr:rowOff>145142</xdr:rowOff>
    </xdr:from>
    <xdr:to>
      <xdr:col>8</xdr:col>
      <xdr:colOff>217714</xdr:colOff>
      <xdr:row>26</xdr:row>
      <xdr:rowOff>145142</xdr:rowOff>
    </xdr:to>
    <mc:AlternateContent xmlns:mc="http://schemas.openxmlformats.org/markup-compatibility/2006" xmlns:a14="http://schemas.microsoft.com/office/drawing/2010/main">
      <mc:Choice Requires="a14">
        <xdr:graphicFrame macro="">
          <xdr:nvGraphicFramePr>
            <xdr:cNvPr id="238" name="Gender 3">
              <a:extLst>
                <a:ext uri="{FF2B5EF4-FFF2-40B4-BE49-F238E27FC236}">
                  <a16:creationId xmlns:a16="http://schemas.microsoft.com/office/drawing/2014/main" id="{684B81AA-D31B-4D12-8395-2B83FDAF7911}"/>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679152" y="4218378"/>
              <a:ext cx="1747871" cy="969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125991</xdr:colOff>
      <xdr:row>19</xdr:row>
      <xdr:rowOff>28322</xdr:rowOff>
    </xdr:from>
    <xdr:to>
      <xdr:col>8</xdr:col>
      <xdr:colOff>568475</xdr:colOff>
      <xdr:row>21</xdr:row>
      <xdr:rowOff>36540</xdr:rowOff>
    </xdr:to>
    <xdr:sp macro="" textlink="">
      <xdr:nvSpPr>
        <xdr:cNvPr id="240" name="TextBox 239">
          <a:extLst>
            <a:ext uri="{FF2B5EF4-FFF2-40B4-BE49-F238E27FC236}">
              <a16:creationId xmlns:a16="http://schemas.microsoft.com/office/drawing/2014/main" id="{FDBFFAB3-7F5F-4F92-814D-F0F26C3281C3}"/>
            </a:ext>
          </a:extLst>
        </xdr:cNvPr>
        <xdr:cNvSpPr txBox="1"/>
      </xdr:nvSpPr>
      <xdr:spPr>
        <a:xfrm>
          <a:off x="2738562" y="3705274"/>
          <a:ext cx="3055056" cy="395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solidFill>
                <a:srgbClr val="A40000"/>
              </a:solidFill>
              <a:latin typeface="Lato Black" panose="020F0502020204030203" pitchFamily="34" charset="0"/>
              <a:ea typeface="Lato Black" panose="020F0502020204030203" pitchFamily="34" charset="0"/>
              <a:cs typeface="Lato Black" panose="020F0502020204030203" pitchFamily="34" charset="0"/>
            </a:rPr>
            <a:t>Total</a:t>
          </a:r>
          <a:r>
            <a:rPr lang="en-US" sz="1400" baseline="0">
              <a:solidFill>
                <a:srgbClr val="A40000"/>
              </a:solidFill>
              <a:latin typeface="Lato Black" panose="020F0502020204030203" pitchFamily="34" charset="0"/>
              <a:ea typeface="Lato Black" panose="020F0502020204030203" pitchFamily="34" charset="0"/>
              <a:cs typeface="Lato Black" panose="020F0502020204030203" pitchFamily="34" charset="0"/>
            </a:rPr>
            <a:t> Employees by Gender</a:t>
          </a:r>
          <a:endParaRPr lang="en-US" sz="1400">
            <a:solidFill>
              <a:srgbClr val="A4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229809</xdr:colOff>
      <xdr:row>21</xdr:row>
      <xdr:rowOff>1</xdr:rowOff>
    </xdr:from>
    <xdr:to>
      <xdr:col>17</xdr:col>
      <xdr:colOff>411238</xdr:colOff>
      <xdr:row>33</xdr:row>
      <xdr:rowOff>133047</xdr:rowOff>
    </xdr:to>
    <xdr:graphicFrame macro="">
      <xdr:nvGraphicFramePr>
        <xdr:cNvPr id="241" name="Chart 240">
          <a:extLst>
            <a:ext uri="{FF2B5EF4-FFF2-40B4-BE49-F238E27FC236}">
              <a16:creationId xmlns:a16="http://schemas.microsoft.com/office/drawing/2014/main" id="{2F6903C2-8872-4E7F-9A6A-EC9A33DDC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302381</xdr:colOff>
      <xdr:row>19</xdr:row>
      <xdr:rowOff>24190</xdr:rowOff>
    </xdr:from>
    <xdr:to>
      <xdr:col>15</xdr:col>
      <xdr:colOff>91723</xdr:colOff>
      <xdr:row>21</xdr:row>
      <xdr:rowOff>32408</xdr:rowOff>
    </xdr:to>
    <xdr:sp macro="" textlink="">
      <xdr:nvSpPr>
        <xdr:cNvPr id="242" name="TextBox 241">
          <a:extLst>
            <a:ext uri="{FF2B5EF4-FFF2-40B4-BE49-F238E27FC236}">
              <a16:creationId xmlns:a16="http://schemas.microsoft.com/office/drawing/2014/main" id="{7C99C1F7-1250-4085-B62F-51D2A6FF7C32}"/>
            </a:ext>
          </a:extLst>
        </xdr:cNvPr>
        <xdr:cNvSpPr txBox="1"/>
      </xdr:nvSpPr>
      <xdr:spPr>
        <a:xfrm>
          <a:off x="6833810" y="3701142"/>
          <a:ext cx="3055056" cy="395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solidFill>
                <a:srgbClr val="A40000"/>
              </a:solidFill>
              <a:latin typeface="Lato Black" panose="020F0502020204030203" pitchFamily="34" charset="0"/>
              <a:ea typeface="Lato Black" panose="020F0502020204030203" pitchFamily="34" charset="0"/>
              <a:cs typeface="Lato Black" panose="020F0502020204030203" pitchFamily="34" charset="0"/>
            </a:rPr>
            <a:t>Education Wise Attrition</a:t>
          </a:r>
        </a:p>
      </xdr:txBody>
    </xdr:sp>
    <xdr:clientData/>
  </xdr:twoCellAnchor>
  <xdr:twoCellAnchor>
    <xdr:from>
      <xdr:col>17</xdr:col>
      <xdr:colOff>631110</xdr:colOff>
      <xdr:row>21</xdr:row>
      <xdr:rowOff>27510</xdr:rowOff>
    </xdr:from>
    <xdr:to>
      <xdr:col>24</xdr:col>
      <xdr:colOff>399142</xdr:colOff>
      <xdr:row>33</xdr:row>
      <xdr:rowOff>157238</xdr:rowOff>
    </xdr:to>
    <mc:AlternateContent xmlns:mc="http://schemas.openxmlformats.org/markup-compatibility/2006">
      <mc:Choice xmlns:cx1="http://schemas.microsoft.com/office/drawing/2015/9/8/chartex" Requires="cx1">
        <xdr:graphicFrame macro="">
          <xdr:nvGraphicFramePr>
            <xdr:cNvPr id="243" name="Chart 242">
              <a:extLst>
                <a:ext uri="{FF2B5EF4-FFF2-40B4-BE49-F238E27FC236}">
                  <a16:creationId xmlns:a16="http://schemas.microsoft.com/office/drawing/2014/main" id="{1CBAAEB0-7B66-4A81-817F-5E702EE853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771550" y="4180410"/>
              <a:ext cx="4355272" cy="241572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648304</xdr:colOff>
      <xdr:row>19</xdr:row>
      <xdr:rowOff>31447</xdr:rowOff>
    </xdr:from>
    <xdr:to>
      <xdr:col>22</xdr:col>
      <xdr:colOff>437646</xdr:colOff>
      <xdr:row>21</xdr:row>
      <xdr:rowOff>39665</xdr:rowOff>
    </xdr:to>
    <xdr:sp macro="" textlink="">
      <xdr:nvSpPr>
        <xdr:cNvPr id="244" name="TextBox 243">
          <a:extLst>
            <a:ext uri="{FF2B5EF4-FFF2-40B4-BE49-F238E27FC236}">
              <a16:creationId xmlns:a16="http://schemas.microsoft.com/office/drawing/2014/main" id="{1F7255ED-2F98-48C1-BE56-6CBDA3F94CA3}"/>
            </a:ext>
          </a:extLst>
        </xdr:cNvPr>
        <xdr:cNvSpPr txBox="1"/>
      </xdr:nvSpPr>
      <xdr:spPr>
        <a:xfrm>
          <a:off x="11751733" y="3708399"/>
          <a:ext cx="3055056" cy="395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solidFill>
                <a:srgbClr val="A40000"/>
              </a:solidFill>
              <a:latin typeface="Lato Black" panose="020F0502020204030203" pitchFamily="34" charset="0"/>
              <a:ea typeface="Lato Black" panose="020F0502020204030203" pitchFamily="34" charset="0"/>
              <a:cs typeface="Lato Black" panose="020F0502020204030203" pitchFamily="34" charset="0"/>
            </a:rPr>
            <a:t>Attrition by</a:t>
          </a:r>
          <a:r>
            <a:rPr lang="en-US" sz="1400" baseline="0">
              <a:solidFill>
                <a:srgbClr val="A40000"/>
              </a:solidFill>
              <a:latin typeface="Lato Black" panose="020F0502020204030203" pitchFamily="34" charset="0"/>
              <a:ea typeface="Lato Black" panose="020F0502020204030203" pitchFamily="34" charset="0"/>
              <a:cs typeface="Lato Black" panose="020F0502020204030203" pitchFamily="34" charset="0"/>
            </a:rPr>
            <a:t> Job Role</a:t>
          </a:r>
          <a:endParaRPr lang="en-US" sz="1400">
            <a:solidFill>
              <a:srgbClr val="A4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290286</xdr:colOff>
      <xdr:row>37</xdr:row>
      <xdr:rowOff>12096</xdr:rowOff>
    </xdr:from>
    <xdr:to>
      <xdr:col>9</xdr:col>
      <xdr:colOff>374953</xdr:colOff>
      <xdr:row>48</xdr:row>
      <xdr:rowOff>145143</xdr:rowOff>
    </xdr:to>
    <xdr:graphicFrame macro="">
      <xdr:nvGraphicFramePr>
        <xdr:cNvPr id="245" name="Chart 244">
          <a:extLst>
            <a:ext uri="{FF2B5EF4-FFF2-40B4-BE49-F238E27FC236}">
              <a16:creationId xmlns:a16="http://schemas.microsoft.com/office/drawing/2014/main" id="{184E8D5C-9005-47F2-99A0-43251BF21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72572</xdr:colOff>
      <xdr:row>34</xdr:row>
      <xdr:rowOff>157237</xdr:rowOff>
    </xdr:from>
    <xdr:to>
      <xdr:col>8</xdr:col>
      <xdr:colOff>515056</xdr:colOff>
      <xdr:row>36</xdr:row>
      <xdr:rowOff>165456</xdr:rowOff>
    </xdr:to>
    <xdr:sp macro="" textlink="">
      <xdr:nvSpPr>
        <xdr:cNvPr id="247" name="TextBox 246">
          <a:extLst>
            <a:ext uri="{FF2B5EF4-FFF2-40B4-BE49-F238E27FC236}">
              <a16:creationId xmlns:a16="http://schemas.microsoft.com/office/drawing/2014/main" id="{29C726C9-2EAB-41C1-8529-096D2A45BCC5}"/>
            </a:ext>
          </a:extLst>
        </xdr:cNvPr>
        <xdr:cNvSpPr txBox="1"/>
      </xdr:nvSpPr>
      <xdr:spPr>
        <a:xfrm>
          <a:off x="2685143" y="6737047"/>
          <a:ext cx="3055056" cy="395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solidFill>
                <a:srgbClr val="A40000"/>
              </a:solidFill>
              <a:latin typeface="Lato Black" panose="020F0502020204030203" pitchFamily="34" charset="0"/>
              <a:ea typeface="Lato Black" panose="020F0502020204030203" pitchFamily="34" charset="0"/>
              <a:cs typeface="Lato Black" panose="020F0502020204030203" pitchFamily="34" charset="0"/>
            </a:rPr>
            <a:t>Total</a:t>
          </a:r>
          <a:r>
            <a:rPr lang="en-US" sz="1400" baseline="0">
              <a:solidFill>
                <a:srgbClr val="A40000"/>
              </a:solidFill>
              <a:latin typeface="Lato Black" panose="020F0502020204030203" pitchFamily="34" charset="0"/>
              <a:ea typeface="Lato Black" panose="020F0502020204030203" pitchFamily="34" charset="0"/>
              <a:cs typeface="Lato Black" panose="020F0502020204030203" pitchFamily="34" charset="0"/>
            </a:rPr>
            <a:t> Employees by Gender</a:t>
          </a:r>
          <a:endParaRPr lang="en-US" sz="1400">
            <a:solidFill>
              <a:srgbClr val="A4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169334</xdr:colOff>
      <xdr:row>37</xdr:row>
      <xdr:rowOff>36285</xdr:rowOff>
    </xdr:from>
    <xdr:to>
      <xdr:col>15</xdr:col>
      <xdr:colOff>447524</xdr:colOff>
      <xdr:row>49</xdr:row>
      <xdr:rowOff>24190</xdr:rowOff>
    </xdr:to>
    <xdr:graphicFrame macro="">
      <xdr:nvGraphicFramePr>
        <xdr:cNvPr id="248" name="Chart 247">
          <a:extLst>
            <a:ext uri="{FF2B5EF4-FFF2-40B4-BE49-F238E27FC236}">
              <a16:creationId xmlns:a16="http://schemas.microsoft.com/office/drawing/2014/main" id="{0274C8A4-C1B9-467A-89D9-0B05B94718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278191</xdr:colOff>
      <xdr:row>34</xdr:row>
      <xdr:rowOff>157238</xdr:rowOff>
    </xdr:from>
    <xdr:to>
      <xdr:col>15</xdr:col>
      <xdr:colOff>67533</xdr:colOff>
      <xdr:row>36</xdr:row>
      <xdr:rowOff>165457</xdr:rowOff>
    </xdr:to>
    <xdr:sp macro="" textlink="">
      <xdr:nvSpPr>
        <xdr:cNvPr id="249" name="TextBox 248">
          <a:extLst>
            <a:ext uri="{FF2B5EF4-FFF2-40B4-BE49-F238E27FC236}">
              <a16:creationId xmlns:a16="http://schemas.microsoft.com/office/drawing/2014/main" id="{6030BF66-C669-4ED1-A599-ABEDF9F2FF62}"/>
            </a:ext>
          </a:extLst>
        </xdr:cNvPr>
        <xdr:cNvSpPr txBox="1"/>
      </xdr:nvSpPr>
      <xdr:spPr>
        <a:xfrm>
          <a:off x="6809620" y="6737048"/>
          <a:ext cx="3055056" cy="395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solidFill>
                <a:srgbClr val="A40000"/>
              </a:solidFill>
              <a:latin typeface="Lato Black" panose="020F0502020204030203" pitchFamily="34" charset="0"/>
              <a:ea typeface="Lato Black" panose="020F0502020204030203" pitchFamily="34" charset="0"/>
              <a:cs typeface="Lato Black" panose="020F0502020204030203" pitchFamily="34" charset="0"/>
            </a:rPr>
            <a:t>Attrition by Age Group</a:t>
          </a:r>
        </a:p>
      </xdr:txBody>
    </xdr:sp>
    <xdr:clientData/>
  </xdr:twoCellAnchor>
  <xdr:twoCellAnchor>
    <xdr:from>
      <xdr:col>15</xdr:col>
      <xdr:colOff>604762</xdr:colOff>
      <xdr:row>37</xdr:row>
      <xdr:rowOff>96762</xdr:rowOff>
    </xdr:from>
    <xdr:to>
      <xdr:col>20</xdr:col>
      <xdr:colOff>157238</xdr:colOff>
      <xdr:row>48</xdr:row>
      <xdr:rowOff>181428</xdr:rowOff>
    </xdr:to>
    <mc:AlternateContent xmlns:mc="http://schemas.openxmlformats.org/markup-compatibility/2006">
      <mc:Choice xmlns:cx2="http://schemas.microsoft.com/office/drawing/2015/10/21/chartex" Requires="cx2">
        <xdr:graphicFrame macro="">
          <xdr:nvGraphicFramePr>
            <xdr:cNvPr id="250" name="Chart 249">
              <a:extLst>
                <a:ext uri="{FF2B5EF4-FFF2-40B4-BE49-F238E27FC236}">
                  <a16:creationId xmlns:a16="http://schemas.microsoft.com/office/drawing/2014/main" id="{5179F5BA-30BC-4D3F-9B5B-A5FDE4B7595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434562" y="7297662"/>
              <a:ext cx="2829076" cy="218016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48381</xdr:colOff>
      <xdr:row>34</xdr:row>
      <xdr:rowOff>169332</xdr:rowOff>
    </xdr:from>
    <xdr:to>
      <xdr:col>20</xdr:col>
      <xdr:colOff>490866</xdr:colOff>
      <xdr:row>36</xdr:row>
      <xdr:rowOff>177551</xdr:rowOff>
    </xdr:to>
    <xdr:sp macro="" textlink="">
      <xdr:nvSpPr>
        <xdr:cNvPr id="251" name="TextBox 250">
          <a:extLst>
            <a:ext uri="{FF2B5EF4-FFF2-40B4-BE49-F238E27FC236}">
              <a16:creationId xmlns:a16="http://schemas.microsoft.com/office/drawing/2014/main" id="{98F30F27-8404-4817-B34D-7E05AA9F6121}"/>
            </a:ext>
          </a:extLst>
        </xdr:cNvPr>
        <xdr:cNvSpPr txBox="1"/>
      </xdr:nvSpPr>
      <xdr:spPr>
        <a:xfrm>
          <a:off x="10498667" y="6749142"/>
          <a:ext cx="3055056" cy="395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a:solidFill>
                <a:srgbClr val="A40000"/>
              </a:solidFill>
              <a:latin typeface="Lato Black" panose="020F0502020204030203" pitchFamily="34" charset="0"/>
              <a:ea typeface="Lato Black" panose="020F0502020204030203" pitchFamily="34" charset="0"/>
              <a:cs typeface="Lato Black" panose="020F0502020204030203" pitchFamily="34" charset="0"/>
            </a:rPr>
            <a:t>Attrition by Marital Status</a:t>
          </a:r>
        </a:p>
      </xdr:txBody>
    </xdr:sp>
    <xdr:clientData/>
  </xdr:twoCellAnchor>
  <xdr:twoCellAnchor editAs="oneCell">
    <xdr:from>
      <xdr:col>22</xdr:col>
      <xdr:colOff>616858</xdr:colOff>
      <xdr:row>37</xdr:row>
      <xdr:rowOff>145143</xdr:rowOff>
    </xdr:from>
    <xdr:to>
      <xdr:col>24</xdr:col>
      <xdr:colOff>362857</xdr:colOff>
      <xdr:row>46</xdr:row>
      <xdr:rowOff>169334</xdr:rowOff>
    </xdr:to>
    <mc:AlternateContent xmlns:mc="http://schemas.openxmlformats.org/markup-compatibility/2006" xmlns:a14="http://schemas.microsoft.com/office/drawing/2010/main">
      <mc:Choice Requires="a14">
        <xdr:graphicFrame macro="">
          <xdr:nvGraphicFramePr>
            <xdr:cNvPr id="254" name="Department 1">
              <a:extLst>
                <a:ext uri="{FF2B5EF4-FFF2-40B4-BE49-F238E27FC236}">
                  <a16:creationId xmlns:a16="http://schemas.microsoft.com/office/drawing/2014/main" id="{1848096E-470A-4C86-B414-34D85FCFCF6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942458" y="7321798"/>
              <a:ext cx="1048326" cy="1769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435428</xdr:colOff>
      <xdr:row>37</xdr:row>
      <xdr:rowOff>133046</xdr:rowOff>
    </xdr:from>
    <xdr:to>
      <xdr:col>23</xdr:col>
      <xdr:colOff>24191</xdr:colOff>
      <xdr:row>49</xdr:row>
      <xdr:rowOff>72571</xdr:rowOff>
    </xdr:to>
    <mc:AlternateContent xmlns:mc="http://schemas.openxmlformats.org/markup-compatibility/2006" xmlns:a14="http://schemas.microsoft.com/office/drawing/2010/main">
      <mc:Choice Requires="a14">
        <xdr:graphicFrame macro="">
          <xdr:nvGraphicFramePr>
            <xdr:cNvPr id="255" name="Education Field 3">
              <a:extLst>
                <a:ext uri="{FF2B5EF4-FFF2-40B4-BE49-F238E27FC236}">
                  <a16:creationId xmlns:a16="http://schemas.microsoft.com/office/drawing/2014/main" id="{1558FD56-DE0F-4F03-838C-E4739FA269F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3458701" y="7309701"/>
              <a:ext cx="1542254" cy="22670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394305</xdr:colOff>
      <xdr:row>36</xdr:row>
      <xdr:rowOff>104018</xdr:rowOff>
    </xdr:from>
    <xdr:to>
      <xdr:col>22</xdr:col>
      <xdr:colOff>604762</xdr:colOff>
      <xdr:row>37</xdr:row>
      <xdr:rowOff>157238</xdr:rowOff>
    </xdr:to>
    <xdr:sp macro="" textlink="">
      <xdr:nvSpPr>
        <xdr:cNvPr id="256" name="TextBox 255">
          <a:extLst>
            <a:ext uri="{FF2B5EF4-FFF2-40B4-BE49-F238E27FC236}">
              <a16:creationId xmlns:a16="http://schemas.microsoft.com/office/drawing/2014/main" id="{EBBEF525-9C50-4849-8E16-019A3E28AD9E}"/>
            </a:ext>
          </a:extLst>
        </xdr:cNvPr>
        <xdr:cNvSpPr txBox="1"/>
      </xdr:nvSpPr>
      <xdr:spPr>
        <a:xfrm>
          <a:off x="13457162" y="7070875"/>
          <a:ext cx="1516743" cy="246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t>Education</a:t>
          </a:r>
          <a:r>
            <a:rPr lang="en-US" sz="1300" b="1"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t> Feild</a:t>
          </a:r>
          <a:endParaRPr lang="en-US" sz="130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22</xdr:col>
      <xdr:colOff>558798</xdr:colOff>
      <xdr:row>36</xdr:row>
      <xdr:rowOff>87085</xdr:rowOff>
    </xdr:from>
    <xdr:to>
      <xdr:col>25</xdr:col>
      <xdr:colOff>116113</xdr:colOff>
      <xdr:row>37</xdr:row>
      <xdr:rowOff>145143</xdr:rowOff>
    </xdr:to>
    <xdr:sp macro="" textlink="">
      <xdr:nvSpPr>
        <xdr:cNvPr id="257" name="TextBox 256">
          <a:extLst>
            <a:ext uri="{FF2B5EF4-FFF2-40B4-BE49-F238E27FC236}">
              <a16:creationId xmlns:a16="http://schemas.microsoft.com/office/drawing/2014/main" id="{E8005F01-DF43-40ED-B246-F885C12ACEE4}"/>
            </a:ext>
          </a:extLst>
        </xdr:cNvPr>
        <xdr:cNvSpPr txBox="1"/>
      </xdr:nvSpPr>
      <xdr:spPr>
        <a:xfrm>
          <a:off x="14927941" y="7053942"/>
          <a:ext cx="1516743" cy="251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t>Department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uri Hewapathirana" refreshedDate="46035.760964699075" createdVersion="8" refreshedVersion="8" minRefreshableVersion="3" recordCount="1470" xr:uid="{645EBA88-00E6-4651-92D6-85CB2B473517}">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1874173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248501-4288-493D-AA22-5AE5618F6895}"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1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7FAFAB-0A6A-48F9-A6AC-30CCF85DED5D}"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A97020-C21F-4FC2-AADB-0BD23AFCD83D}" name="Educ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50AE2C-1732-43C4-A5CA-AED7ABF14018}"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DD12A3-0F3C-4CBD-9996-A7610DEA142B}"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75284A-AF25-43A1-997E-8663C86065A0}" name="Attrition by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93504E-C687-4DCD-9ED7-503E96B48ECF}"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6F6DA6-ED9A-442F-AD67-9B6D3793B755}"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numFmtId="1"/>
  </dataFields>
  <formats count="1">
    <format dxfId="10">
      <pivotArea outline="0" collapsedLevelsAreSubtotals="1" fieldPosition="0">
        <references count="1">
          <reference field="4294967294" count="1" selected="0">
            <x v="2"/>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957F7785-5539-4D92-A89C-22DFCC7BC117}" sourceName="Gender">
  <pivotTables>
    <pivotTable tabId="13" name="Gender"/>
    <pivotTable tabId="18" name="Attrition by Age"/>
    <pivotTable tabId="16" name="Attrition by job"/>
    <pivotTable tabId="17" name="Dept wise Attrition"/>
    <pivotTable tabId="14" name="Education"/>
    <pivotTable tabId="8" name="KPI"/>
    <pivotTable tabId="20" name="Marital Status"/>
    <pivotTable tabId="12" name="Rating"/>
  </pivotTables>
  <data>
    <tabular pivotCacheId="118741731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5A76867-0F76-4041-A24E-76ED7E0A688E}" sourceName="Department">
  <pivotTables>
    <pivotTable tabId="18" name="Attrition by Age"/>
    <pivotTable tabId="16" name="Attrition by job"/>
    <pivotTable tabId="17" name="Dept wise Attrition"/>
    <pivotTable tabId="14" name="Education"/>
    <pivotTable tabId="13" name="Gender"/>
    <pivotTable tabId="8" name="KPI"/>
    <pivotTable tabId="20" name="Marital Status"/>
    <pivotTable tabId="12" name="Rating"/>
  </pivotTables>
  <data>
    <tabular pivotCacheId="118741731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7C75BD54-9320-463D-B487-87EAB915D124}" sourceName="Education Field">
  <pivotTables>
    <pivotTable tabId="18" name="Attrition by Age"/>
    <pivotTable tabId="16" name="Attrition by job"/>
    <pivotTable tabId="17" name="Dept wise Attrition"/>
    <pivotTable tabId="14" name="Education"/>
    <pivotTable tabId="13" name="Gender"/>
    <pivotTable tabId="8" name="KPI"/>
    <pivotTable tabId="20" name="Marital Status"/>
    <pivotTable tabId="12" name="Rating"/>
  </pivotTables>
  <data>
    <tabular pivotCacheId="1187417318">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775FCE21-211F-46E7-9B15-C416A6F569D9}" cache="Slicer_Gender2" caption="Gender" rowHeight="260350"/>
  <slicer name="Education Field" xr10:uid="{AC5090ED-DB02-4D5A-9E86-E9CA3A91EB27}" cache="Slicer_Education_Field2" caption="Education Field"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FD57CC1-2237-4E32-A75D-27A42F308407}" cache="Slicer_Gender2" caption="Gender" rowHeight="260350"/>
  <slicer name="Education Field 1" xr10:uid="{EA3FEB4A-F307-451D-AF28-8F76E1A2BC0C}"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E5B1726-7066-4667-8765-0BF8CFBF8724}" cache="Slicer_Department" caption="Department" rowHeight="260350"/>
  <slicer name="Education Field 2" xr10:uid="{A62F88BA-247F-4165-A3E3-F7CD2A2D869C}"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5EC674E-6483-4343-B13D-6A417A72A270}" cache="Slicer_Gender2" caption="Gender"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13674188-65EB-478D-9C5A-9E4CDA83AC9A}" cache="Slicer_Gender2" caption="Gender" style="Slicer Style 1" rowHeight="260350"/>
  <slicer name="Department 1" xr10:uid="{7E26986D-A2AE-4010-BA81-74CA7639BBE7}" cache="Slicer_Department" style="Slicer Style 1" rowHeight="260350"/>
  <slicer name="Education Field 3" xr10:uid="{26505168-90E1-4925-AD56-71A92D6F857A}" cache="Slicer_Education_Field2" style="Slicer Style 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Light1"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D7938-5B19-4440-9C45-F81CBC33D2D3}">
  <dimension ref="A3:C8"/>
  <sheetViews>
    <sheetView zoomScale="93" workbookViewId="0">
      <selection activeCell="I21" sqref="I21"/>
    </sheetView>
  </sheetViews>
  <sheetFormatPr defaultRowHeight="15.6" x14ac:dyDescent="0.3"/>
  <cols>
    <col min="1" max="1" width="23.59765625" bestFit="1" customWidth="1"/>
    <col min="2" max="2" width="11.3984375" bestFit="1" customWidth="1"/>
  </cols>
  <sheetData>
    <row r="3" spans="1:3" x14ac:dyDescent="0.3">
      <c r="A3" s="3" t="s">
        <v>1562</v>
      </c>
    </row>
    <row r="4" spans="1:3" x14ac:dyDescent="0.3">
      <c r="A4" s="12">
        <v>2.6265306122448981</v>
      </c>
    </row>
    <row r="7" spans="1:3" x14ac:dyDescent="0.3">
      <c r="A7" s="13" t="s">
        <v>1563</v>
      </c>
      <c r="B7" s="8">
        <f>GETPIVOTDATA("Job Satisfaction",$A$3)</f>
        <v>2.6265306122448981</v>
      </c>
      <c r="C7">
        <f>GETPIVOTDATA("Job Satisfaction",$A$3)/4</f>
        <v>0.65663265306122454</v>
      </c>
    </row>
    <row r="8" spans="1:3" x14ac:dyDescent="0.3">
      <c r="A8" s="13" t="s">
        <v>1564</v>
      </c>
      <c r="B8" s="8">
        <f>4-GETPIVOTDATA("Job Satisfaction",$A$3)</f>
        <v>1.3734693877551019</v>
      </c>
      <c r="C8">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8E46A-1878-453B-A408-5D5C69EF28A0}">
  <dimension ref="A3:C11"/>
  <sheetViews>
    <sheetView topLeftCell="F2" zoomScaleNormal="100" workbookViewId="0">
      <selection activeCell="B11" sqref="B11"/>
    </sheetView>
  </sheetViews>
  <sheetFormatPr defaultRowHeight="15.6" x14ac:dyDescent="0.3"/>
  <cols>
    <col min="1" max="1" width="12.19921875" bestFit="1" customWidth="1"/>
    <col min="2" max="2" width="22.796875" bestFit="1" customWidth="1"/>
  </cols>
  <sheetData>
    <row r="3" spans="1:3" x14ac:dyDescent="0.3">
      <c r="A3" s="14" t="s">
        <v>1566</v>
      </c>
      <c r="B3" s="3" t="s">
        <v>1568</v>
      </c>
    </row>
    <row r="4" spans="1:3" x14ac:dyDescent="0.3">
      <c r="A4" s="15" t="s">
        <v>51</v>
      </c>
      <c r="B4" s="21">
        <v>588</v>
      </c>
    </row>
    <row r="5" spans="1:3" x14ac:dyDescent="0.3">
      <c r="A5" s="16" t="s">
        <v>62</v>
      </c>
      <c r="B5" s="22">
        <v>882</v>
      </c>
    </row>
    <row r="6" spans="1:3" x14ac:dyDescent="0.3">
      <c r="A6" s="17" t="s">
        <v>1567</v>
      </c>
      <c r="B6" s="23">
        <v>1470</v>
      </c>
    </row>
    <row r="10" spans="1:3" x14ac:dyDescent="0.3">
      <c r="A10" s="13" t="s">
        <v>51</v>
      </c>
      <c r="B10">
        <f>IFERROR(GETPIVOTDATA("Employee Count",$A$3,"Gender","Female"),0)</f>
        <v>588</v>
      </c>
      <c r="C10" s="10">
        <f>IFERROR(B10/($B$10+$B$11),0)</f>
        <v>0.4</v>
      </c>
    </row>
    <row r="11" spans="1:3" x14ac:dyDescent="0.3">
      <c r="A11" s="13" t="s">
        <v>62</v>
      </c>
      <c r="B11">
        <f>IFERROR(GETPIVOTDATA("Employee Count",$A$3,"Gender","Male"),0)</f>
        <v>882</v>
      </c>
      <c r="C11" s="10">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11DDC-6D02-4447-A2D1-5C1AA9B1906D}">
  <dimension ref="A3:B9"/>
  <sheetViews>
    <sheetView workbookViewId="0">
      <selection activeCell="B8" sqref="B8"/>
    </sheetView>
  </sheetViews>
  <sheetFormatPr defaultRowHeight="15.6" x14ac:dyDescent="0.3"/>
  <cols>
    <col min="1" max="1" width="16" bestFit="1" customWidth="1"/>
    <col min="2" max="2" width="22.796875" bestFit="1" customWidth="1"/>
  </cols>
  <sheetData>
    <row r="3" spans="1:2" x14ac:dyDescent="0.3">
      <c r="A3" s="14" t="s">
        <v>1566</v>
      </c>
      <c r="B3" s="3" t="s">
        <v>1555</v>
      </c>
    </row>
    <row r="4" spans="1:2" x14ac:dyDescent="0.3">
      <c r="A4" s="15" t="s">
        <v>134</v>
      </c>
      <c r="B4" s="21">
        <v>5</v>
      </c>
    </row>
    <row r="5" spans="1:2" x14ac:dyDescent="0.3">
      <c r="A5" s="16" t="s">
        <v>65</v>
      </c>
      <c r="B5" s="22">
        <v>31</v>
      </c>
    </row>
    <row r="6" spans="1:2" x14ac:dyDescent="0.3">
      <c r="A6" s="16" t="s">
        <v>55</v>
      </c>
      <c r="B6" s="22">
        <v>44</v>
      </c>
    </row>
    <row r="7" spans="1:2" x14ac:dyDescent="0.3">
      <c r="A7" s="16" t="s">
        <v>71</v>
      </c>
      <c r="B7" s="22">
        <v>58</v>
      </c>
    </row>
    <row r="8" spans="1:2" x14ac:dyDescent="0.3">
      <c r="A8" s="16" t="s">
        <v>77</v>
      </c>
      <c r="B8" s="22">
        <v>99</v>
      </c>
    </row>
    <row r="9" spans="1:2" x14ac:dyDescent="0.3">
      <c r="A9" s="17" t="s">
        <v>1567</v>
      </c>
      <c r="B9" s="23">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9C2BE-8C94-450D-92DC-1C4B8A2024C8}">
  <dimension ref="A3:F13"/>
  <sheetViews>
    <sheetView topLeftCell="L1" workbookViewId="0">
      <selection activeCell="L21" sqref="L21"/>
    </sheetView>
  </sheetViews>
  <sheetFormatPr defaultRowHeight="15.6" x14ac:dyDescent="0.3"/>
  <cols>
    <col min="1" max="1" width="23.296875" bestFit="1" customWidth="1"/>
    <col min="2" max="2" width="22.796875" bestFit="1" customWidth="1"/>
    <col min="5" max="5" width="23.296875" bestFit="1" customWidth="1"/>
  </cols>
  <sheetData>
    <row r="3" spans="1:6" x14ac:dyDescent="0.3">
      <c r="A3" s="14" t="s">
        <v>1566</v>
      </c>
      <c r="B3" s="3" t="s">
        <v>1555</v>
      </c>
      <c r="E3" s="13" t="s">
        <v>1570</v>
      </c>
      <c r="F3" s="13" t="s">
        <v>1569</v>
      </c>
    </row>
    <row r="4" spans="1:6" x14ac:dyDescent="0.3">
      <c r="A4" s="15" t="s">
        <v>83</v>
      </c>
      <c r="B4" s="21">
        <v>9</v>
      </c>
      <c r="E4" s="13" t="str">
        <f>A4</f>
        <v>Healthcare Representative</v>
      </c>
      <c r="F4" s="13">
        <f>GETPIVOTDATA("CF_attrition count",$A$3,"Job Role",A4)</f>
        <v>9</v>
      </c>
    </row>
    <row r="5" spans="1:6" x14ac:dyDescent="0.3">
      <c r="A5" s="16" t="s">
        <v>163</v>
      </c>
      <c r="B5" s="22">
        <v>12</v>
      </c>
      <c r="E5" s="13" t="str">
        <f t="shared" ref="E5:E12" si="0">A5</f>
        <v>Human Resources</v>
      </c>
      <c r="F5" s="13">
        <f t="shared" ref="F5:F12" si="1">GETPIVOTDATA("CF_attrition count",$A$3,"Job Role",A5)</f>
        <v>12</v>
      </c>
    </row>
    <row r="6" spans="1:6" x14ac:dyDescent="0.3">
      <c r="A6" s="16" t="s">
        <v>68</v>
      </c>
      <c r="B6" s="22">
        <v>62</v>
      </c>
      <c r="E6" s="13" t="str">
        <f t="shared" si="0"/>
        <v>Laboratory Technician</v>
      </c>
      <c r="F6" s="13">
        <f t="shared" si="1"/>
        <v>62</v>
      </c>
    </row>
    <row r="7" spans="1:6" x14ac:dyDescent="0.3">
      <c r="A7" s="16" t="s">
        <v>95</v>
      </c>
      <c r="B7" s="22">
        <v>5</v>
      </c>
      <c r="E7" s="13" t="str">
        <f t="shared" si="0"/>
        <v>Manager</v>
      </c>
      <c r="F7" s="13">
        <f t="shared" si="1"/>
        <v>5</v>
      </c>
    </row>
    <row r="8" spans="1:6" x14ac:dyDescent="0.3">
      <c r="A8" s="16" t="s">
        <v>81</v>
      </c>
      <c r="B8" s="22">
        <v>10</v>
      </c>
      <c r="E8" s="13" t="str">
        <f t="shared" si="0"/>
        <v>Manufacturing Director</v>
      </c>
      <c r="F8" s="13">
        <f t="shared" si="1"/>
        <v>10</v>
      </c>
    </row>
    <row r="9" spans="1:6" x14ac:dyDescent="0.3">
      <c r="A9" s="16" t="s">
        <v>101</v>
      </c>
      <c r="B9" s="22">
        <v>2</v>
      </c>
      <c r="E9" s="13" t="str">
        <f t="shared" si="0"/>
        <v>Research Director</v>
      </c>
      <c r="F9" s="13">
        <f t="shared" si="1"/>
        <v>2</v>
      </c>
    </row>
    <row r="10" spans="1:6" x14ac:dyDescent="0.3">
      <c r="A10" s="16" t="s">
        <v>63</v>
      </c>
      <c r="B10" s="22">
        <v>47</v>
      </c>
      <c r="E10" s="13" t="str">
        <f t="shared" si="0"/>
        <v>Research Scientist</v>
      </c>
      <c r="F10" s="13">
        <f t="shared" si="1"/>
        <v>47</v>
      </c>
    </row>
    <row r="11" spans="1:6" x14ac:dyDescent="0.3">
      <c r="A11" s="16" t="s">
        <v>52</v>
      </c>
      <c r="B11" s="22">
        <v>57</v>
      </c>
      <c r="E11" s="13" t="str">
        <f t="shared" si="0"/>
        <v>Sales Executive</v>
      </c>
      <c r="F11" s="13">
        <f t="shared" si="1"/>
        <v>57</v>
      </c>
    </row>
    <row r="12" spans="1:6" x14ac:dyDescent="0.3">
      <c r="A12" s="16" t="s">
        <v>99</v>
      </c>
      <c r="B12" s="22">
        <v>33</v>
      </c>
      <c r="E12" s="13" t="str">
        <f t="shared" si="0"/>
        <v>Sales Representative</v>
      </c>
      <c r="F12" s="13">
        <f t="shared" si="1"/>
        <v>33</v>
      </c>
    </row>
    <row r="13" spans="1:6" x14ac:dyDescent="0.3">
      <c r="A13" s="17" t="s">
        <v>1567</v>
      </c>
      <c r="B13" s="23">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90B70-2BA5-400D-96DD-C0ED4A8B8280}">
  <dimension ref="A3:B7"/>
  <sheetViews>
    <sheetView zoomScale="85" zoomScaleNormal="85" workbookViewId="0">
      <selection activeCell="A4" sqref="A4:B6"/>
    </sheetView>
  </sheetViews>
  <sheetFormatPr defaultRowHeight="15.6" x14ac:dyDescent="0.3"/>
  <cols>
    <col min="1" max="1" width="12.5" bestFit="1" customWidth="1"/>
    <col min="2" max="2" width="22.796875" bestFit="1" customWidth="1"/>
  </cols>
  <sheetData>
    <row r="3" spans="1:2" x14ac:dyDescent="0.3">
      <c r="A3" s="14" t="s">
        <v>1566</v>
      </c>
      <c r="B3" s="3" t="s">
        <v>1555</v>
      </c>
    </row>
    <row r="4" spans="1:2" x14ac:dyDescent="0.3">
      <c r="A4" s="15" t="s">
        <v>161</v>
      </c>
      <c r="B4" s="18">
        <v>5.0632911392405063E-2</v>
      </c>
    </row>
    <row r="5" spans="1:2" x14ac:dyDescent="0.3">
      <c r="A5" s="16" t="s">
        <v>60</v>
      </c>
      <c r="B5" s="19">
        <v>0.56118143459915615</v>
      </c>
    </row>
    <row r="6" spans="1:2" x14ac:dyDescent="0.3">
      <c r="A6" s="16" t="s">
        <v>48</v>
      </c>
      <c r="B6" s="19">
        <v>0.3881856540084388</v>
      </c>
    </row>
    <row r="7" spans="1:2" x14ac:dyDescent="0.3">
      <c r="A7" s="17" t="s">
        <v>1567</v>
      </c>
      <c r="B7" s="20">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2DDE-CA85-4775-A189-A56EC8B0A71B}">
  <dimension ref="A3:B9"/>
  <sheetViews>
    <sheetView zoomScale="85" zoomScaleNormal="85" workbookViewId="0">
      <selection activeCell="B6" sqref="B6"/>
    </sheetView>
  </sheetViews>
  <sheetFormatPr defaultRowHeight="15.6" x14ac:dyDescent="0.3"/>
  <cols>
    <col min="1" max="1" width="12.5" bestFit="1" customWidth="1"/>
    <col min="2" max="2" width="22.796875" bestFit="1" customWidth="1"/>
  </cols>
  <sheetData>
    <row r="3" spans="1:2" x14ac:dyDescent="0.3">
      <c r="A3" s="14" t="s">
        <v>1566</v>
      </c>
      <c r="B3" s="3" t="s">
        <v>1555</v>
      </c>
    </row>
    <row r="4" spans="1:2" x14ac:dyDescent="0.3">
      <c r="A4" s="15" t="s">
        <v>69</v>
      </c>
      <c r="B4" s="21">
        <v>112</v>
      </c>
    </row>
    <row r="5" spans="1:2" x14ac:dyDescent="0.3">
      <c r="A5" s="16" t="s">
        <v>46</v>
      </c>
      <c r="B5" s="22">
        <v>51</v>
      </c>
    </row>
    <row r="6" spans="1:2" x14ac:dyDescent="0.3">
      <c r="A6" s="16" t="s">
        <v>92</v>
      </c>
      <c r="B6" s="22">
        <v>38</v>
      </c>
    </row>
    <row r="7" spans="1:2" x14ac:dyDescent="0.3">
      <c r="A7" s="16" t="s">
        <v>58</v>
      </c>
      <c r="B7" s="22">
        <v>25</v>
      </c>
    </row>
    <row r="8" spans="1:2" x14ac:dyDescent="0.3">
      <c r="A8" s="16" t="s">
        <v>75</v>
      </c>
      <c r="B8" s="22">
        <v>11</v>
      </c>
    </row>
    <row r="9" spans="1:2" x14ac:dyDescent="0.3">
      <c r="A9" s="17" t="s">
        <v>1567</v>
      </c>
      <c r="B9" s="23">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73C7E-B8CE-46C0-85D1-7CDE030BE80E}">
  <dimension ref="A3:E7"/>
  <sheetViews>
    <sheetView workbookViewId="0">
      <selection activeCell="AA16" sqref="AA16:AA19"/>
    </sheetView>
  </sheetViews>
  <sheetFormatPr defaultRowHeight="15.6" x14ac:dyDescent="0.3"/>
  <cols>
    <col min="1" max="1" width="12.19921875" bestFit="1" customWidth="1"/>
    <col min="2" max="3" width="22.796875" bestFit="1" customWidth="1"/>
    <col min="4" max="4" width="12.69921875" bestFit="1" customWidth="1"/>
  </cols>
  <sheetData>
    <row r="3" spans="1:5" x14ac:dyDescent="0.3">
      <c r="A3" s="14" t="s">
        <v>1566</v>
      </c>
      <c r="B3" s="3" t="s">
        <v>1555</v>
      </c>
      <c r="D3" s="13" t="s">
        <v>10</v>
      </c>
      <c r="E3" s="13" t="s">
        <v>1569</v>
      </c>
    </row>
    <row r="4" spans="1:5" x14ac:dyDescent="0.3">
      <c r="A4" s="15" t="s">
        <v>79</v>
      </c>
      <c r="B4" s="21">
        <v>33</v>
      </c>
      <c r="D4" t="str">
        <f>A4</f>
        <v>Divorced</v>
      </c>
      <c r="E4">
        <f>GETPIVOTDATA("CF_attrition count",$A$3,"Marital Status",A4)</f>
        <v>33</v>
      </c>
    </row>
    <row r="5" spans="1:5" x14ac:dyDescent="0.3">
      <c r="A5" s="16" t="s">
        <v>64</v>
      </c>
      <c r="B5" s="22">
        <v>84</v>
      </c>
      <c r="D5" t="str">
        <f t="shared" ref="D5:D6" si="0">A5</f>
        <v>Married</v>
      </c>
      <c r="E5">
        <f t="shared" ref="E5:E6" si="1">GETPIVOTDATA("CF_attrition count",$A$3,"Marital Status",A5)</f>
        <v>84</v>
      </c>
    </row>
    <row r="6" spans="1:5" x14ac:dyDescent="0.3">
      <c r="A6" s="16" t="s">
        <v>53</v>
      </c>
      <c r="B6" s="22">
        <v>120</v>
      </c>
      <c r="D6" t="str">
        <f t="shared" si="0"/>
        <v>Single</v>
      </c>
      <c r="E6">
        <f t="shared" si="1"/>
        <v>120</v>
      </c>
    </row>
    <row r="7" spans="1:5" x14ac:dyDescent="0.3">
      <c r="A7" s="17" t="s">
        <v>1567</v>
      </c>
      <c r="B7" s="23">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3" zoomScale="91" zoomScaleNormal="91" workbookViewId="0">
      <selection activeCell="K1470" sqref="K1470"/>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3AC20-B02A-44D3-BBB1-1930133DD777}">
  <dimension ref="A3:E8"/>
  <sheetViews>
    <sheetView workbookViewId="0">
      <selection activeCell="B8" sqref="B8"/>
    </sheetView>
  </sheetViews>
  <sheetFormatPr defaultRowHeight="15.6" x14ac:dyDescent="0.3"/>
  <cols>
    <col min="1" max="1" width="24.5" bestFit="1" customWidth="1"/>
    <col min="2" max="2" width="22.796875" bestFit="1" customWidth="1"/>
    <col min="3" max="3" width="13.5" bestFit="1" customWidth="1"/>
    <col min="4" max="4" width="15.59765625" bestFit="1" customWidth="1"/>
    <col min="5" max="5" width="12.3984375" bestFit="1" customWidth="1"/>
  </cols>
  <sheetData>
    <row r="3" spans="1:5" x14ac:dyDescent="0.3">
      <c r="A3" s="2" t="s">
        <v>1554</v>
      </c>
      <c r="B3" s="5" t="s">
        <v>1555</v>
      </c>
      <c r="C3" s="4" t="s">
        <v>1556</v>
      </c>
    </row>
    <row r="4" spans="1:5" x14ac:dyDescent="0.3">
      <c r="A4" s="24">
        <v>1470</v>
      </c>
      <c r="B4" s="25">
        <v>237</v>
      </c>
      <c r="C4" s="6">
        <v>36.923809523809524</v>
      </c>
    </row>
    <row r="7" spans="1:5" x14ac:dyDescent="0.3">
      <c r="A7" s="7" t="s">
        <v>1557</v>
      </c>
      <c r="B7" s="7" t="s">
        <v>1558</v>
      </c>
      <c r="C7" s="7" t="s">
        <v>1559</v>
      </c>
      <c r="D7" s="7" t="s">
        <v>1560</v>
      </c>
      <c r="E7" s="7" t="s">
        <v>1561</v>
      </c>
    </row>
    <row r="8" spans="1:5" x14ac:dyDescent="0.3">
      <c r="A8">
        <f>GETPIVOTDATA("Count of Employee Number",$A$3)</f>
        <v>1470</v>
      </c>
      <c r="B8">
        <f>GETPIVOTDATA("Sum of CF_attrition count",$A$3)</f>
        <v>237</v>
      </c>
      <c r="C8" s="9">
        <f>GETPIVOTDATA("Average of Age",$A$3)</f>
        <v>36.923809523809524</v>
      </c>
      <c r="D8">
        <f>A8-B8</f>
        <v>1233</v>
      </c>
      <c r="E8" s="10">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Z1:AD26"/>
  <sheetViews>
    <sheetView tabSelected="1" topLeftCell="A12" zoomScale="55" workbookViewId="0">
      <selection activeCell="AA16" sqref="AA16:AA19"/>
    </sheetView>
  </sheetViews>
  <sheetFormatPr defaultColWidth="11.19921875" defaultRowHeight="15" customHeight="1" x14ac:dyDescent="0.3"/>
  <cols>
    <col min="1" max="26" width="8.59765625" customWidth="1"/>
  </cols>
  <sheetData>
    <row r="1" ht="15.6" x14ac:dyDescent="0.3"/>
    <row r="2" ht="15.6" x14ac:dyDescent="0.3"/>
    <row r="3" ht="15.6" x14ac:dyDescent="0.3"/>
    <row r="4" ht="15.6" x14ac:dyDescent="0.3"/>
    <row r="5" ht="15.6" x14ac:dyDescent="0.3"/>
    <row r="6" ht="15.6" x14ac:dyDescent="0.3"/>
    <row r="7" ht="15.6" x14ac:dyDescent="0.3"/>
    <row r="8" ht="15.6" x14ac:dyDescent="0.3"/>
    <row r="9" ht="15.6" x14ac:dyDescent="0.3"/>
    <row r="10" ht="15.6" x14ac:dyDescent="0.3"/>
    <row r="11" ht="15.6" x14ac:dyDescent="0.3"/>
    <row r="12" ht="15.6" x14ac:dyDescent="0.3"/>
    <row r="13" ht="15.6" x14ac:dyDescent="0.3"/>
    <row r="14" ht="15.6" x14ac:dyDescent="0.3"/>
    <row r="15" ht="15.6" x14ac:dyDescent="0.3"/>
    <row r="16" ht="15.6" x14ac:dyDescent="0.3"/>
    <row r="17" spans="26:30" ht="15.6" x14ac:dyDescent="0.3">
      <c r="AD17" s="13" t="s">
        <v>1565</v>
      </c>
    </row>
    <row r="18" spans="26:30" ht="15.6" x14ac:dyDescent="0.3"/>
    <row r="19" spans="26:30" ht="15.6" x14ac:dyDescent="0.3"/>
    <row r="20" spans="26:30" ht="15.6" x14ac:dyDescent="0.3"/>
    <row r="26" spans="26:30" ht="15" customHeight="1" x14ac:dyDescent="0.45">
      <c r="Z26" s="11"/>
    </row>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8FCFADE0F48AF458F68A0FF17A5B8F1" ma:contentTypeVersion="10" ma:contentTypeDescription="Create a new document." ma:contentTypeScope="" ma:versionID="b318256960f87c90360ecb9f82aaff8c">
  <xsd:schema xmlns:xsd="http://www.w3.org/2001/XMLSchema" xmlns:xs="http://www.w3.org/2001/XMLSchema" xmlns:p="http://schemas.microsoft.com/office/2006/metadata/properties" xmlns:ns3="f0057ecc-156b-4664-ad1b-735689321d85" targetNamespace="http://schemas.microsoft.com/office/2006/metadata/properties" ma:root="true" ma:fieldsID="9d63272912c7c5bcd4fc0b9d6aaf6de9" ns3:_="">
    <xsd:import namespace="f0057ecc-156b-4664-ad1b-735689321d85"/>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057ecc-156b-4664-ad1b-735689321d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A99179B-6C3F-4F39-A332-6442C7109C25}">
  <ds:schemaRefs>
    <ds:schemaRef ds:uri="http://purl.org/dc/elements/1.1/"/>
    <ds:schemaRef ds:uri="http://schemas.microsoft.com/office/2006/metadata/properties"/>
    <ds:schemaRef ds:uri="http://schemas.openxmlformats.org/package/2006/metadata/core-properties"/>
    <ds:schemaRef ds:uri="f0057ecc-156b-4664-ad1b-735689321d85"/>
    <ds:schemaRef ds:uri="http://schemas.microsoft.com/office/2006/documentManagement/types"/>
    <ds:schemaRef ds:uri="http://purl.org/dc/term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61ED1540-EB37-4220-BAAD-DB1159150C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057ecc-156b-4664-ad1b-735689321d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F00E6D9-9102-444D-953A-B28DB6CA2B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Rating</vt:lpstr>
      <vt:lpstr>Gender</vt:lpstr>
      <vt:lpstr>Education</vt:lpstr>
      <vt:lpstr>Attrition by job</vt:lpstr>
      <vt:lpstr>Dept wise Attrition</vt:lpstr>
      <vt:lpstr>Attrition by Age</vt:lpstr>
      <vt:lpstr>Marital Status</vt:lpstr>
      <vt:lpstr>Data</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HEWAPATHIRANA S I it23286078</cp:lastModifiedBy>
  <dcterms:created xsi:type="dcterms:W3CDTF">2022-12-29T16:02:46Z</dcterms:created>
  <dcterms:modified xsi:type="dcterms:W3CDTF">2026-01-16T08:09:17Z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0x01010008FCFADE0F48AF458F68A0FF17A5B8F1</vt:lpwstr>
  </property>
</Properties>
</file>